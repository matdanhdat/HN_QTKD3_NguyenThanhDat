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\"/>
    </mc:Choice>
  </mc:AlternateContent>
  <xr:revisionPtr revIDLastSave="0" documentId="8_{5D6190DF-C7BF-4BCD-8FED-EA4F578341AB}" xr6:coauthVersionLast="47" xr6:coauthVersionMax="47" xr10:uidLastSave="{00000000-0000-0000-0000-000000000000}"/>
  <bookViews>
    <workbookView xWindow="-108" yWindow="-108" windowWidth="23256" windowHeight="12576" activeTab="7" xr2:uid="{13BA84EF-FE57-4CB4-8CCD-B6EB27DC87B1}"/>
  </bookViews>
  <sheets>
    <sheet name="khá 1" sheetId="1" r:id="rId1"/>
    <sheet name="khá2" sheetId="2" r:id="rId2"/>
    <sheet name="giỏi3" sheetId="3" r:id="rId3"/>
    <sheet name="giỏi4" sheetId="4" r:id="rId4"/>
    <sheet name="xuất sắc5" sheetId="5" r:id="rId5"/>
    <sheet name="xuất sắc 6" sheetId="6" r:id="rId6"/>
    <sheet name="BTTH7" sheetId="7" r:id="rId7"/>
    <sheet name="BTTH8" sheetId="8" r:id="rId8"/>
  </sheets>
  <definedNames>
    <definedName name="_xlnm._FilterDatabase" localSheetId="6" hidden="1">BTTH7!$F$1:$F$991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5" l="1"/>
</calcChain>
</file>

<file path=xl/sharedStrings.xml><?xml version="1.0" encoding="utf-8"?>
<sst xmlns="http://schemas.openxmlformats.org/spreadsheetml/2006/main" count="1513" uniqueCount="502">
  <si>
    <t>Nhiệm vụ 1: Nhận diện cấu trúc</t>
  </si>
  <si>
    <t>Câu hỏi</t>
  </si>
  <si>
    <t>Bảng dữ liệu này thuộc chủ đề gì? (Table)</t>
  </si>
  <si>
    <r>
      <t xml:space="preserve">Bảng dữ liệu ghi nhận các </t>
    </r>
    <r>
      <rPr>
        <b/>
        <sz val="11"/>
        <color theme="1"/>
        <rFont val="Arial"/>
        <family val="2"/>
        <charset val="163"/>
        <scheme val="minor"/>
      </rPr>
      <t>giao dịch bán hàng</t>
    </r>
    <r>
      <rPr>
        <sz val="11"/>
        <color theme="1"/>
        <rFont val="Arial"/>
        <family val="2"/>
        <charset val="163"/>
        <scheme val="minor"/>
      </rPr>
      <t xml:space="preserve"> (sales transactions) của chuỗi cửa hàng thức ăn nhanh QuickBite (burger, gà rán, đồ uống, món phụ...)</t>
    </r>
  </si>
  <si>
    <t>Liệt kê tất cả các Column trong bảng</t>
  </si>
  <si>
    <t>1. Mã đơn hàng 2. Ngày bán 3. Nhân viên 4. Chi nhánh 5. Tên sản phẩm 6. Số lượng 7. Đơn giá 8. Kênh bán 9. Ghi chú</t>
  </si>
  <si>
    <t>Mỗi Row đại diện cho điều gì?</t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</si>
  <si>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Row</t>
    </r>
    <r>
      <rPr>
        <sz val="11"/>
        <color theme="1"/>
        <rFont val="Arial"/>
        <family val="2"/>
        <charset val="163"/>
        <scheme val="minor"/>
      </rPr>
      <t xml:space="preserve"> đại diện cho </t>
    </r>
    <r>
      <rPr>
        <b/>
        <sz val="11"/>
        <color theme="1"/>
        <rFont val="Arial"/>
        <family val="2"/>
        <charset val="163"/>
        <scheme val="minor"/>
      </rPr>
      <t>một chi tiết sản phẩm</t>
    </r>
    <r>
      <rPr>
        <sz val="11"/>
        <color theme="1"/>
        <rFont val="Arial"/>
        <family val="2"/>
        <charset val="163"/>
        <scheme val="minor"/>
      </rPr>
      <t xml:space="preserve"> trong một đơn hàng (một giao dịch bán hàng cụ thể của một món sản phẩm). Lưu ý: Một đơn hàng có thể có nhiều row nếu mua nhiều món khác nhau.</t>
    </r>
  </si>
  <si>
    <t>Bảng có bao nhiêu Row dữ liệu (không tính header)?</t>
  </si>
  <si>
    <r>
      <t>100 row</t>
    </r>
    <r>
      <rPr>
        <sz val="11"/>
        <color theme="1"/>
        <rFont val="Arial"/>
        <family val="2"/>
        <charset val="163"/>
        <scheme val="minor"/>
      </rPr>
      <t xml:space="preserve"> dữ liệu (từ row 2 đến row 101 trong sheet, không tính hàng tiêu đề).</t>
    </r>
  </si>
  <si>
    <t>Câu trả lời</t>
  </si>
  <si>
    <t>Nhiệm vụ 2: Phân tích vai trò từng Column</t>
  </si>
  <si>
    <t>Tên Column</t>
  </si>
  <si>
    <t>Loại dữ liệu</t>
  </si>
  <si>
    <t>Vai trò trong phân tích</t>
  </si>
  <si>
    <t>Mã đơn hàng</t>
  </si>
  <si>
    <t>Chữ (Text)</t>
  </si>
  <si>
    <r>
      <t>Khóa chính / định danh duy nhất</t>
    </r>
    <r>
      <rPr>
        <sz val="11"/>
        <color theme="1"/>
        <rFont val="Arial"/>
        <family val="2"/>
        <charset val="163"/>
        <scheme val="minor"/>
      </rPr>
      <t xml:space="preserve"> của từng đơn hàng, dùng để tra cứu, nhóm đơn hàng, phát hiện trùng lặp.</t>
    </r>
  </si>
  <si>
    <t>Ngày bán</t>
  </si>
  <si>
    <t>Ngày (Date)</t>
  </si>
  <si>
    <r>
      <t>Thời gian giao dịch</t>
    </r>
    <r>
      <rPr>
        <sz val="11"/>
        <color theme="1"/>
        <rFont val="Arial"/>
        <family val="2"/>
        <charset val="163"/>
        <scheme val="minor"/>
      </rPr>
      <t>, dùng để phân tích theo thời gian (ngày, tuần, tháng, quý, năm), xu hướng bán hàng, so sánh kỳ.</t>
    </r>
  </si>
  <si>
    <t>Nhân viên</t>
  </si>
  <si>
    <r>
      <t>Người thực hiện bán hàng</t>
    </r>
    <r>
      <rPr>
        <sz val="11"/>
        <color theme="1"/>
        <rFont val="Arial"/>
        <family val="2"/>
        <charset val="163"/>
        <scheme val="minor"/>
      </rPr>
      <t>, dùng để đánh giá hiệu suất nhân viên, doanh số theo nhân viên, thưởng phạt.</t>
    </r>
  </si>
  <si>
    <t>Chi nhánh</t>
  </si>
  <si>
    <r>
      <t>Địa điểm cửa hàng</t>
    </r>
    <r>
      <rPr>
        <sz val="11"/>
        <color theme="1"/>
        <rFont val="Arial"/>
        <family val="2"/>
        <charset val="163"/>
        <scheme val="minor"/>
      </rPr>
      <t>, dùng để phân tích doanh thu theo chi nhánh, so sánh hiệu quả kinh doanh giữa các khu vực (Hà Nội, TP.HCM, Đà Nẵng...).</t>
    </r>
  </si>
  <si>
    <t>Tên sản phẩm</t>
  </si>
  <si>
    <r>
      <t>Sản phẩm được bán</t>
    </r>
    <r>
      <rPr>
        <sz val="11"/>
        <color theme="1"/>
        <rFont val="Arial"/>
        <family val="2"/>
        <charset val="163"/>
        <scheme val="minor"/>
      </rPr>
      <t>, dùng để phân tích sản phẩm bán chạy, tồn kho, nhóm sản phẩm (burger, đồ uống, gà rán...), chiến lược menu.</t>
    </r>
  </si>
  <si>
    <t>Số lượng</t>
  </si>
  <si>
    <t>Số (Number)</t>
  </si>
  <si>
    <r>
      <t>Số lượng món bán ra</t>
    </r>
    <r>
      <rPr>
        <sz val="11"/>
        <color theme="1"/>
        <rFont val="Arial"/>
        <family val="2"/>
        <charset val="163"/>
        <scheme val="minor"/>
      </rPr>
      <t>, dùng để tính tổng sản lượng bán, doanh thu thực tế (Số lượng × Đơn giá), phân tích nhu cầu.</t>
    </r>
  </si>
  <si>
    <t>Đơn giá</t>
  </si>
  <si>
    <r>
      <t>Giá bán của 1 đơn vị sản phẩm</t>
    </r>
    <r>
      <rPr>
        <sz val="11"/>
        <color theme="1"/>
        <rFont val="Arial"/>
        <family val="2"/>
        <charset val="163"/>
        <scheme val="minor"/>
      </rPr>
      <t>, dùng để tính doanh thu, phân tích giá bán, khuyến mãi, thay đổi giá theo thời gian.</t>
    </r>
  </si>
  <si>
    <t>Kênh bán</t>
  </si>
  <si>
    <r>
      <t>Kênh bán hàng</t>
    </r>
    <r>
      <rPr>
        <sz val="11"/>
        <color theme="1"/>
        <rFont val="Arial"/>
        <family val="2"/>
        <charset val="163"/>
        <scheme val="minor"/>
      </rPr>
      <t xml:space="preserve"> (Tại quán, Grab, ShopeeFood...), dùng để phân tích tỷ trọng doanh thu online/offline, hiệu quả từng kênh giao hàng.</t>
    </r>
  </si>
  <si>
    <t>Ghi chú</t>
  </si>
  <si>
    <r>
      <t>Thông tin bổ sung</t>
    </r>
    <r>
      <rPr>
        <sz val="11"/>
        <color theme="1"/>
        <rFont val="Arial"/>
        <family val="2"/>
        <charset val="163"/>
        <scheme val="minor"/>
      </rPr>
      <t xml:space="preserve"> (Ít đá, Khách VIP, Gấp, Hủy món...), dùng để phân tích yêu cầu đặc biệt của khách, chất lượng dịch vụ, xử lý khiếu nại.</t>
    </r>
  </si>
  <si>
    <t>Nhiệm vụ 1: Phân loại lỗi</t>
  </si>
  <si>
    <t>Lỗi</t>
  </si>
  <si>
    <t>Mô tả ngắn gọn</t>
  </si>
  <si>
    <t>Loại lỗi (Table / Column / Row)</t>
  </si>
  <si>
    <t>Nguyên tắc đúng (dữ liệu sạch - tidy data)</t>
  </si>
  <si>
    <t>Hai bảng khác nhau ("DonHang" và "ThongKeThang") nằm chung một sheet, liền kề nhau không có khoảng tách</t>
  </si>
  <si>
    <t>Table</t>
  </si>
  <si>
    <t>Có 2 cột cùng tên "Tên" (một cho nhân viên, một cho sản phẩm)</t>
  </si>
  <si>
    <t>Column</t>
  </si>
  <si>
    <t>Một ô chứa nhiều mã đơn hàng: "QB-240050, QB-240051"</t>
  </si>
  <si>
    <t>Row</t>
  </si>
  <si>
    <t>Tên cột viết tắt khó hiểu: "NV", "CN", "SP", "SL", "ĐG"</t>
  </si>
  <si>
    <t>Dòng 75, 76, 77 bị bỏ trống hoàn toàn giữa bảng dữ liệu</t>
  </si>
  <si>
    <t>Mỗi bảng dữ liệu độc lập nên nằm trong một sheet riêng (hoặc ít nhất cách nhau rõ ràng bằng khoảng trống lớn hoặc sheet riêng biệt)</t>
  </si>
  <si>
    <t>Mỗi cột phải có tên duy nhất, rõ nghĩa, không được trùng tên giữa các cột khác nhau</t>
  </si>
  <si>
    <t>Mỗi row chỉ đại diện cho một thực thể duy nhất (ở đây là một chi tiết giao dịch/đơn hàng), không được gộp nhiều giá trị vào cùng một ô</t>
  </si>
  <si>
    <t>Tên cột nên đầy đủ, rõ ràng, dễ hiểu (ví dụ: Nhân viên, Chi nhánh, Sản phẩm, Số lượng, Đơn giá) để người khác (và cả bản thân sau này) dễ sử dụng</t>
  </si>
  <si>
    <t>Không được để dòng trống giữa các dữ liệu liên tục (blank rows phá vỡ tính liên tục của bảng)</t>
  </si>
  <si>
    <t>Nhiệm vụ 2: Phân tích hậu quả (2 lỗi nghiêm trọng nhất)</t>
  </si>
  <si>
    <t>Hậu quả khi dùng Filter / Sort</t>
  </si>
  <si>
    <t>Hậu quả khi tính toán (SUM, AVERAGE, PivotTable, v.v.)</t>
  </si>
  <si>
    <r>
      <t xml:space="preserve">- Filter/Sort theo Mã đơn hàng sẽ </t>
    </r>
    <r>
      <rPr>
        <b/>
        <sz val="11"/>
        <color theme="1"/>
        <rFont val="Arial"/>
        <family val="2"/>
        <charset val="163"/>
        <scheme val="minor"/>
      </rPr>
      <t>hiển thị sai</t>
    </r>
    <r>
      <rPr>
        <sz val="11"/>
        <color theme="1"/>
        <rFont val="Arial"/>
        <family val="2"/>
        <charset val="163"/>
        <scheme val="minor"/>
      </rPr>
      <t xml:space="preserve"> (chỉ thấy một ô chứa nhiều mã) - Không thể lọc chính xác từng đơn hàng riêng lẻ - Sort sẽ làm mất ý nghĩa thứ tự đơn hàng</t>
    </r>
  </si>
  <si>
    <r>
      <t xml:space="preserve">- Tính tổng doanh thu, số lượng → </t>
    </r>
    <r>
      <rPr>
        <b/>
        <sz val="11"/>
        <color theme="1"/>
        <rFont val="Arial"/>
        <family val="2"/>
        <charset val="163"/>
        <scheme val="minor"/>
      </rPr>
      <t>sai lệch nghiêm trọng</t>
    </r>
    <r>
      <rPr>
        <sz val="11"/>
        <color theme="1"/>
        <rFont val="Arial"/>
        <family val="2"/>
        <charset val="163"/>
        <scheme val="minor"/>
      </rPr>
      <t xml:space="preserve"> (một ô bị tính gấp đôi hoặc thiếu) - PivotTable nhóm theo Mã đơn → </t>
    </r>
    <r>
      <rPr>
        <b/>
        <sz val="11"/>
        <color theme="1"/>
        <rFont val="Arial"/>
        <family val="2"/>
        <charset val="163"/>
        <scheme val="minor"/>
      </rPr>
      <t>gộp nhầm nhiều đơn thành một</t>
    </r>
    <r>
      <rPr>
        <sz val="11"/>
        <color theme="1"/>
        <rFont val="Arial"/>
        <family val="2"/>
        <charset val="163"/>
        <scheme val="minor"/>
      </rPr>
      <t xml:space="preserve"> - Không thể phân tích chi tiết từng đơn hàng - Dễ gây lỗi khi dùng VLOOKUP/XLOOKUP/INDEX MATCH</t>
    </r>
  </si>
  <si>
    <r>
      <t xml:space="preserve">- Khi Filter, Excel coi các dòng trống là </t>
    </r>
    <r>
      <rPr>
        <b/>
        <sz val="11"/>
        <color theme="1"/>
        <rFont val="Arial"/>
        <family val="2"/>
        <charset val="163"/>
        <scheme val="minor"/>
      </rPr>
      <t>phá vỡ vùng dữ liệu</t>
    </r>
    <r>
      <rPr>
        <sz val="11"/>
        <color theme="1"/>
        <rFont val="Arial"/>
        <family val="2"/>
        <charset val="163"/>
        <scheme val="minor"/>
      </rPr>
      <t xml:space="preserve"> → Filter chỉ áp dụng cho phần trên hoặc dưới dòng trống - Sort toàn bảng sẽ </t>
    </r>
    <r>
      <rPr>
        <b/>
        <sz val="11"/>
        <color theme="1"/>
        <rFont val="Arial"/>
        <family val="2"/>
        <charset val="163"/>
        <scheme val="minor"/>
      </rPr>
      <t>đẩy các dòng trống lên đầu hoặc cuối</t>
    </r>
    <r>
      <rPr>
        <sz val="11"/>
        <color theme="1"/>
        <rFont val="Arial"/>
        <family val="2"/>
        <charset val="163"/>
        <scheme val="minor"/>
      </rPr>
      <t xml:space="preserve">, làm rối dữ liệu - Chọn vùng dữ liệu bằng Ctrl+Shift+Down thường </t>
    </r>
    <r>
      <rPr>
        <b/>
        <sz val="11"/>
        <color theme="1"/>
        <rFont val="Arial"/>
        <family val="2"/>
        <charset val="163"/>
        <scheme val="minor"/>
      </rPr>
      <t>bị dừng lại</t>
    </r>
    <r>
      <rPr>
        <sz val="11"/>
        <color theme="1"/>
        <rFont val="Arial"/>
        <family val="2"/>
        <charset val="163"/>
        <scheme val="minor"/>
      </rPr>
      <t xml:space="preserve"> trước dòng trống</t>
    </r>
  </si>
  <si>
    <r>
      <t xml:space="preserve">- Hàm SUM/SUMIF, AVERAGE... nếu chọn vùng lớn sẽ </t>
    </r>
    <r>
      <rPr>
        <b/>
        <sz val="11"/>
        <color theme="1"/>
        <rFont val="Arial"/>
        <family val="2"/>
        <charset val="163"/>
        <scheme val="minor"/>
      </rPr>
      <t>bỏ sót</t>
    </r>
    <r>
      <rPr>
        <sz val="11"/>
        <color theme="1"/>
        <rFont val="Arial"/>
        <family val="2"/>
        <charset val="163"/>
        <scheme val="minor"/>
      </rPr>
      <t xml:space="preserve"> dữ liệu phía dưới dòng trống - PivotTable </t>
    </r>
    <r>
      <rPr>
        <b/>
        <sz val="11"/>
        <color theme="1"/>
        <rFont val="Arial"/>
        <family val="2"/>
        <charset val="163"/>
        <scheme val="minor"/>
      </rPr>
      <t>không nhận diện</t>
    </r>
    <r>
      <rPr>
        <sz val="11"/>
        <color theme="1"/>
        <rFont val="Arial"/>
        <family val="2"/>
        <charset val="163"/>
        <scheme val="minor"/>
      </rPr>
      <t xml:space="preserve"> toàn bộ dữ liệu → chỉ lấy phần trên hoặc dưới dòng trống - Nhiều công cụ phân tích (như Power Query) sẽ </t>
    </r>
    <r>
      <rPr>
        <b/>
        <sz val="11"/>
        <color theme="1"/>
        <rFont val="Arial"/>
        <family val="2"/>
        <charset val="163"/>
        <scheme val="minor"/>
      </rPr>
      <t>tự động bỏ qua</t>
    </r>
    <r>
      <rPr>
        <sz val="11"/>
        <color theme="1"/>
        <rFont val="Arial"/>
        <family val="2"/>
        <charset val="163"/>
        <scheme val="minor"/>
      </rPr>
      <t xml:space="preserve"> hoặc báo lỗi khi gặp khoảng trống giữa bảng</t>
    </r>
  </si>
  <si>
    <t>Nhiệm vụ 1: Thống kê dữ liệu thiếu</t>
  </si>
  <si>
    <t>Cột</t>
  </si>
  <si>
    <t>Số ô trống</t>
  </si>
  <si>
    <t>Tỷ lệ (%)</t>
  </si>
  <si>
    <t>Có thể khôi phục?</t>
  </si>
  <si>
    <t>Ghi chú (nếu có)</t>
  </si>
  <si>
    <t>Có</t>
  </si>
  <si>
    <t>Có thể khôi phục từ các dòng liên quan cùng đơn hàng</t>
  </si>
  <si>
    <t>Dùng sheet "NhanVien" để tra cứu theo chi nhánh</t>
  </si>
  <si>
    <t>Dựa vào mã đơn hàng hoặc nhân viên để suy ra</t>
  </si>
  <si>
    <t>Không</t>
  </si>
  <si>
    <t>Không có cơ sở để đoán số lượng chính xác</t>
  </si>
  <si>
    <t>Dùng sheet "BangGia" để tra cứu đơn giá chuẩn theo tên sản phẩm</t>
  </si>
  <si>
    <t>Nhiệm vụ 2: Lựa chọn phương pháp xử lý</t>
  </si>
  <si>
    <t>Cột bị thiếu</t>
  </si>
  <si>
    <t>Quyết định (Xóa / Thay thế / Giữ nguyên)</t>
  </si>
  <si>
    <t>Lý do</t>
  </si>
  <si>
    <t>Giá trị thay thế (nếu có)</t>
  </si>
  <si>
    <t>Thay thế</t>
  </si>
  <si>
    <t>Mã đơn hàng là khóa chính, không thể để trống hoặc xóa dòng (sẽ mất toàn bộ giao dịch). Có thể khôi phục từ các dòng cùng đơn hàng</t>
  </si>
  <si>
    <t>Lấy mã đơn hàng từ dòng liền trên/kề dưới có cùng thông tin (nếu cùng đơn hàng)</t>
  </si>
  <si>
    <t>Có sheet "NhanVien" để tra cứu nhân viên phụ trách theo chi nhánh → không cần xóa dòng</t>
  </si>
  <si>
    <t>Tra cứu từ sheet "NhanVien" dựa vào cột Chi nhánh</t>
  </si>
  <si>
    <t>Chi nhánh là thông tin quan trọng cho phân tích theo khu vực. Có thể suy ra từ nhân viên hoặc mã đơn hàng</t>
  </si>
  <si>
    <t>Dựa vào nhân viên (tra sheet "NhanVien") hoặc mã chi nhánh trong mã đơn hàng</t>
  </si>
  <si>
    <t>Xóa dòng</t>
  </si>
  <si>
    <t>Số lượng là giá trị cốt lõi để tính doanh thu (Doanh thu = Số lượng × Đơn giá). Không có cơ sở đoán chính xác → xóa để đảm bảo tính chính xác báo cáo</t>
  </si>
  <si>
    <t>(Không thay thế)</t>
  </si>
  <si>
    <t>Có sheet "BangGia" chứa đơn giá chuẩn của từng sản phẩm → dễ dàng tra cứu và thay thế chính xác</t>
  </si>
  <si>
    <t>Tra cứu từ sheet "BangGia" theo cột "Tên sản phẩm"</t>
  </si>
  <si>
    <t>Nhiệm vụ 3: Chọn công cụ Excel phù hợp</t>
  </si>
  <si>
    <t>Thao tác cần làm</t>
  </si>
  <si>
    <t>Công cụ Excel sử dụng</t>
  </si>
  <si>
    <t>Lý do chọn công cụ này</t>
  </si>
  <si>
    <t>Tìm tất cả ô trống trong bảng</t>
  </si>
  <si>
    <r>
      <t>Go To Special</t>
    </r>
    <r>
      <rPr>
        <sz val="11"/>
        <color theme="1"/>
        <rFont val="Arial"/>
        <family val="2"/>
        <charset val="163"/>
        <scheme val="minor"/>
      </rPr>
      <t xml:space="preserve"> (Ctrl + G → Special → Blanks) hoặc </t>
    </r>
    <r>
      <rPr>
        <b/>
        <sz val="11"/>
        <color theme="1"/>
        <rFont val="Arial"/>
        <family val="2"/>
        <charset val="163"/>
        <scheme val="minor"/>
      </rPr>
      <t>Filter</t>
    </r>
    <r>
      <rPr>
        <sz val="11"/>
        <color theme="1"/>
        <rFont val="Arial"/>
        <family val="2"/>
        <charset val="163"/>
        <scheme val="minor"/>
      </rPr>
      <t xml:space="preserve"> (bỏ chọn ô trống)</t>
    </r>
  </si>
  <si>
    <t>Go To Special nhanh chóng highlight tất cả ô trống trong vùng chọn. Filter giúp xem và đếm dễ dàng mà không làm thay đổi dữ liệu</t>
  </si>
  <si>
    <t>Xóa các dòng thiếu dữ liệu quan trọng</t>
  </si>
  <si>
    <r>
      <t>Filter</t>
    </r>
    <r>
      <rPr>
        <sz val="11"/>
        <color theme="1"/>
        <rFont val="Arial"/>
        <family val="2"/>
        <charset val="163"/>
        <scheme val="minor"/>
      </rPr>
      <t xml:space="preserve"> + </t>
    </r>
    <r>
      <rPr>
        <b/>
        <sz val="11"/>
        <color theme="1"/>
        <rFont val="Arial"/>
        <family val="2"/>
        <charset val="163"/>
        <scheme val="minor"/>
      </rPr>
      <t>Delete Row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Remove Duplicates</t>
    </r>
    <r>
      <rPr>
        <sz val="11"/>
        <color theme="1"/>
        <rFont val="Arial"/>
        <family val="2"/>
        <charset val="163"/>
        <scheme val="minor"/>
      </rPr>
      <t xml:space="preserve"> (nếu cần)</t>
    </r>
  </si>
  <si>
    <t>Filter cho phép lọc các dòng có ô trống ở cột quan trọng (ví dụ: Số lượng = trống), sau đó chọn và xóa toàn bộ dòng chỉ trong một thao tác</t>
  </si>
  <si>
    <t>Thay thế ô trống bằng giá trị cụ thể</t>
  </si>
  <si>
    <r>
      <t>Find &amp; Replace</t>
    </r>
    <r>
      <rPr>
        <sz val="11"/>
        <color theme="1"/>
        <rFont val="Arial"/>
        <family val="2"/>
        <charset val="163"/>
        <scheme val="minor"/>
      </rPr>
      <t xml:space="preserve"> (Ctrl + H) hoặc </t>
    </r>
    <r>
      <rPr>
        <b/>
        <sz val="11"/>
        <color theme="1"/>
        <rFont val="Arial"/>
        <family val="2"/>
        <charset val="163"/>
        <scheme val="minor"/>
      </rPr>
      <t>VLOOKUP / XLOOKUP</t>
    </r>
    <r>
      <rPr>
        <sz val="11"/>
        <color theme="1"/>
        <rFont val="Arial"/>
        <family val="2"/>
        <charset val="163"/>
        <scheme val="minor"/>
      </rPr>
      <t xml:space="preserve"> kết hợp </t>
    </r>
    <r>
      <rPr>
        <b/>
        <sz val="11"/>
        <color theme="1"/>
        <rFont val="Arial"/>
        <family val="2"/>
        <charset val="163"/>
        <scheme val="minor"/>
      </rPr>
      <t>IFERROR</t>
    </r>
  </si>
  <si>
    <t>Find &amp; Replace phù hợp thay thế nhanh giá trị đơn giản. VLOOKUP/XLOOKUP dùng để tra cứu chính xác từ sheet "BangGia" hoặc "NhanVien" và thay thế tự động cho các ô trống</t>
  </si>
  <si>
    <t>Nhiệm vụ 1: Phát hiện dữ liệu trùng lặp</t>
  </si>
  <si>
    <t>Mã đơn hàng trùng</t>
  </si>
  <si>
    <t>Số lần xuất hiện</t>
  </si>
  <si>
    <t>Các dòng bị trùng</t>
  </si>
  <si>
    <t>Loại trùng lặp</t>
  </si>
  <si>
    <t>QB-240012</t>
  </si>
  <si>
    <t>Dòng 12, 13, 14</t>
  </si>
  <si>
    <t>Trùng một phần</t>
  </si>
  <si>
    <t>QB-240037</t>
  </si>
  <si>
    <t>Dòng 37, 38</t>
  </si>
  <si>
    <t>Trùng hoàn toàn</t>
  </si>
  <si>
    <t>QB-240065</t>
  </si>
  <si>
    <t>Dòng 65, 66</t>
  </si>
  <si>
    <t>QB-240089</t>
  </si>
  <si>
    <t>Dòng 89, 90</t>
  </si>
  <si>
    <t>Nhiệm vụ 2: Phân loại trùng lặp &amp; Quyết định xử lý</t>
  </si>
  <si>
    <t>Loại trùng (Hoàn toàn / Một phần)</t>
  </si>
  <si>
    <t>Cột nào khác nhau? (Điền “không” nếu trùng hoàn toàn)</t>
  </si>
  <si>
    <t>Quyết định xử lý (Loại bỏ / Giữ lại)</t>
  </si>
  <si>
    <t>Lý do xử lý</t>
  </si>
  <si>
    <t>Một phần</t>
  </si>
  <si>
    <t>Số lượng (khác nhau: 2 và 1), Ghi chú</t>
  </si>
  <si>
    <t>Giữ lại tất cả</t>
  </si>
  <si>
    <t>Đây là các chi tiết sản phẩm khác nhau trong cùng một đơn hàng → cần giữ để tính chính xác doanh thu</t>
  </si>
  <si>
    <t>Hoàn toàn</t>
  </si>
  <si>
    <t>Loại bỏ 1 dòng (giữ 1)</t>
  </si>
  <si>
    <t>Trùng hoàn toàn → là lỗi nhập liệu, gây tính thừa doanh thu → xóa bớt để chỉ giữ 1 bản</t>
  </si>
  <si>
    <t>Nhân viên, Số lượng</t>
  </si>
  <si>
    <t>Có thể là 2 giao dịch riêng biệt (nhân viên khác nhau) → giữ nguyên để phân tích đúng</t>
  </si>
  <si>
    <t>Trùng hoàn toàn → lỗi sao chép, gây sai lệch tổng doanh thu → xóa bớt</t>
  </si>
  <si>
    <t>Nhiệm vụ 3: Tính toán tác động</t>
  </si>
  <si>
    <t>Kết quả</t>
  </si>
  <si>
    <t>Giải thích cách tính</t>
  </si>
  <si>
    <t>Tổng số dòng trùng cần xóa?</t>
  </si>
  <si>
    <t>2 dòng</t>
  </si>
  <si>
    <t>Chỉ xóa các dòng trùng hoàn toàn (1 dòng từ QB-240037 và 1 dòng từ QB-240089)</t>
  </si>
  <si>
    <t>Tổng số tiền bị tính thừa do trùng hoàn toàn?</t>
  </si>
  <si>
    <t>185.000 VNĐ</t>
  </si>
  <si>
    <r>
      <t xml:space="preserve">- QB-240037: Đơn giá 85.000 × Số lượng 1 = 85.000 (trùng 1 lần → thừa 85.000) - QB-240089: Đơn giá 100.000 × Số lượng 1 = 100.000 (trùng 1 lần → thừa 100.000) </t>
    </r>
    <r>
      <rPr>
        <b/>
        <sz val="11"/>
        <color theme="1"/>
        <rFont val="Arial"/>
        <family val="2"/>
        <charset val="163"/>
        <scheme val="minor"/>
      </rPr>
      <t>Tổng thừa: 85.000 + 100.000 = 185.000 VNĐ</t>
    </r>
  </si>
  <si>
    <t>Nhiệm vụ 1: Kiểm tra và liệt kê tất cả vấn đề</t>
  </si>
  <si>
    <t>Loại vấn đề</t>
  </si>
  <si>
    <t>Vị trí cụ thể (dòng/cột)</t>
  </si>
  <si>
    <t>Mức độ (Cao / TB / Thấp)</t>
  </si>
  <si>
    <t>Lý do đánh giá mức độ</t>
  </si>
  <si>
    <t>Dữ liệu thiếu (ô trống)</t>
  </si>
  <si>
    <t>~43 ô trống</t>
  </si>
  <si>
    <t>- Mã đơn hàng: ~8 ô (dòng 10-15, 40-45...) - Nhân viên: ~12 ô - Chi nhánh: ~5 ô - Số lượng: ~3 ô - Đơn giá: ~15 ô</t>
  </si>
  <si>
    <t>Cao</t>
  </si>
  <si>
    <t>Ảnh hưởng trực tiếp đến tính toán doanh thu và nhóm theo đơn hàng/chi nhánh</t>
  </si>
  <si>
    <t>Dữ liệu trùng lặp hoàn toàn</t>
  </si>
  <si>
    <t>Dòng 37-38 (QB-240037), dòng 89-90 (QB-240089)</t>
  </si>
  <si>
    <t>Gây tính thừa doanh thu thực tế</t>
  </si>
  <si>
    <t>Dữ liệu trùng lặp một phần</t>
  </si>
  <si>
    <t>7 dòng (4 mã đơn)</t>
  </si>
  <si>
    <t>- QB-240012: dòng 12-14 (khác số lượng/ghi chú) - QB-240065: dòng 65-66 (khác nhân viên/số lượng)</t>
  </si>
  <si>
    <t>Trung bình</t>
  </si>
  <si>
    <t>Không gây sai số lớn nhưng cần giữ để phân tích chi tiết đơn hàng</t>
  </si>
  <si>
    <t>Nhiệm vụ 2: Lập kế hoạch xử lý (thứ tự hiệu quả nhất)</t>
  </si>
  <si>
    <t>TT</t>
  </si>
  <si>
    <t>Vấn đề cần xử lý</t>
  </si>
  <si>
    <t>Cách xử lý</t>
  </si>
  <si>
    <t>Dòng trống giữa bảng &amp; cấu trúc không chuẩn (nếu có)</t>
  </si>
  <si>
    <t>Xóa dòng trống hoàn toàn giữa dữ liệu, đảm bảo bảng liên tục</t>
  </si>
  <si>
    <t>Filter (lọc blank rows) + Delete Row; Go To Special → Blanks</t>
  </si>
  <si>
    <t>Dữ liệu thiếu ở các cột quan trọng</t>
  </si>
  <si>
    <t>- Thay thế Mã đơn hàng, Nhân viên, Chi nhánh, Đơn giá từ sheet hỗ trợ (NhanVien, BangGia) - Xóa dòng nếu thiếu Số lượng (không thể đoán)</t>
  </si>
  <si>
    <t>VLOOKUP / XLOOKUP + IFERROR; Find &amp; Replace; Filter + Delete</t>
  </si>
  <si>
    <t>Loại bỏ các dòng trùng hoàn toàn (giữ 1 bản)</t>
  </si>
  <si>
    <t>Data → Remove Duplicates (chọn toàn bộ cột)</t>
  </si>
  <si>
    <t>Kiểm tra thủ công → giữ lại vì là chi tiết sản phẩm khác nhau trong đơn hàng</t>
  </si>
  <si>
    <t>Conditional Formatting (Highlight Duplicates trên Mã đơn hàng) + Filter kiểm tra</t>
  </si>
  <si>
    <t>Chuẩn hóa cuối (nếu cần)</t>
  </si>
  <si>
    <t>Định dạng lại Ngày bán (Date), tên cột đầy đủ, trim khoảng trắng thừa</t>
  </si>
  <si>
    <t>Text to Columns, TRIM, Format Cells</t>
  </si>
  <si>
    <t>Nhiệm vụ 3: Thực hiện làm sạch và đánh giá kết quả</t>
  </si>
  <si>
    <t>Chỉ số</t>
  </si>
  <si>
    <t>Trước xử lý</t>
  </si>
  <si>
    <t>Sau xử lý</t>
  </si>
  <si>
    <t>Chênh lệch</t>
  </si>
  <si>
    <t>Tổng số dòng dữ liệu</t>
  </si>
  <si>
    <t>-3 (xóa thiếu Số lượng)</t>
  </si>
  <si>
    <t>Số ô trống còn lại</t>
  </si>
  <si>
    <t>~43</t>
  </si>
  <si>
    <t>0-2</t>
  </si>
  <si>
    <t>-41 đến -43</t>
  </si>
  <si>
    <t>Số dòng trùng lặp còn lại</t>
  </si>
  <si>
    <t>9 (bao gồm trùng một phần)</t>
  </si>
  <si>
    <t>0 (hoàn toàn) + 7 (một phần cần giữ)</t>
  </si>
  <si>
    <t>-2 (xóa trùng hoàn toàn)</t>
  </si>
  <si>
    <t>Tỷ lệ dữ liệu sạch (%)</t>
  </si>
  <si>
    <t>~55-60%</t>
  </si>
  <si>
    <t>~98%</t>
  </si>
  <si>
    <t>Nhiệm vụ 4: Đề xuất phòng ngừa</t>
  </si>
  <si>
    <t>STT</t>
  </si>
  <si>
    <t>Quy tắc đề xuất</t>
  </si>
  <si>
    <t>Lỗi nào sẽ được ngăn chặn?</t>
  </si>
  <si>
    <r>
      <t xml:space="preserve">Sử dụng </t>
    </r>
    <r>
      <rPr>
        <b/>
        <sz val="11"/>
        <color theme="1"/>
        <rFont val="Arial"/>
        <family val="2"/>
        <charset val="163"/>
        <scheme val="minor"/>
      </rPr>
      <t>Data Validation</t>
    </r>
    <r>
      <rPr>
        <sz val="11"/>
        <color theme="1"/>
        <rFont val="Arial"/>
        <family val="2"/>
        <charset val="163"/>
        <scheme val="minor"/>
      </rPr>
      <t xml:space="preserve"> cho các cột quan trọng (Mã đơn hàng, Nhân viên, Chi nhánh, Số lượng) để bắt buộc nhập và không cho để trống</t>
    </r>
  </si>
  <si>
    <r>
      <t xml:space="preserve">Áp dụng </t>
    </r>
    <r>
      <rPr>
        <b/>
        <sz val="11"/>
        <color theme="1"/>
        <rFont val="Arial"/>
        <family val="2"/>
        <charset val="163"/>
        <scheme val="minor"/>
      </rPr>
      <t>bảng Excel Table</t>
    </r>
    <r>
      <rPr>
        <sz val="11"/>
        <color theme="1"/>
        <rFont val="Arial"/>
        <family val="2"/>
        <charset val="163"/>
        <scheme val="minor"/>
      </rPr>
      <t xml:space="preserve"> (Insert → Table) ngay từ khi nhập liệu để tự động tránh dòng trống giữa bảng và dễ phát hiện trùng lặp</t>
    </r>
  </si>
  <si>
    <t>Dòng trống, trùng lặp hoàn toàn/một phần</t>
  </si>
  <si>
    <r>
      <t xml:space="preserve">Thiết lập </t>
    </r>
    <r>
      <rPr>
        <b/>
        <sz val="11"/>
        <color theme="1"/>
        <rFont val="Arial"/>
        <family val="2"/>
        <charset val="163"/>
        <scheme val="minor"/>
      </rPr>
      <t>quy trình nhập liệu kép</t>
    </r>
    <r>
      <rPr>
        <sz val="11"/>
        <color theme="1"/>
        <rFont val="Arial"/>
        <family val="2"/>
        <charset val="163"/>
        <scheme val="minor"/>
      </rPr>
      <t xml:space="preserve"> (nhập xong → kiểm tra bằng Conditional Formatting highlight duplicates + ô trống → phê duyệt trước khi lưu) hoặc dùng </t>
    </r>
    <r>
      <rPr>
        <b/>
        <sz val="11"/>
        <color theme="1"/>
        <rFont val="Arial"/>
        <family val="2"/>
        <charset val="163"/>
        <scheme val="minor"/>
      </rPr>
      <t>Google Form/Excel Online</t>
    </r>
    <r>
      <rPr>
        <sz val="11"/>
        <color theme="1"/>
        <rFont val="Arial"/>
        <family val="2"/>
        <charset val="163"/>
        <scheme val="minor"/>
      </rPr>
      <t xml:space="preserve"> với kiểm soát tự động</t>
    </r>
  </si>
  <si>
    <t>Tất cả lỗi: thiếu, trùng lặp, cấu trúc không chuẩn</t>
  </si>
  <si>
    <t>Nhiệm vụ 1 - Thiết kế Checklist kiểm tra dữ liệu</t>
  </si>
  <si>
    <t>Hạng mục kiểm tra</t>
  </si>
  <si>
    <t>Tiêu chí đạt</t>
  </si>
  <si>
    <t>Công cụ Excel để kiểm tra</t>
  </si>
  <si>
    <t>Cấu trúc Table</t>
  </si>
  <si>
    <t>- Dữ liệu nằm trong một bảng liên tục (không có dòng trống giữa dữ liệu) - Không có nhiều bảng khác nhau trong cùng sheet - Sử dụng Excel Table (Ctrl+T) để tự động quản lý</t>
  </si>
  <si>
    <t>- Go To Special → Blanks (kiểm tra dòng trống) - Insert → Table</t>
  </si>
  <si>
    <t>Cấu trúc Column</t>
  </si>
  <si>
    <t>- Tất cả cột có tiêu đề duy nhất, rõ ràng, đầy đủ (không viết tắt, không trùng tên) - Không có cột thừa hoặc không liên quan - Định dạng đúng loại dữ liệu (Date cho Ngày bán, Number cho Số lượng/Đơn giá)</t>
  </si>
  <si>
    <t>- Conditional Formatting → Highlight Duplicates trên header - Format Cells → kiểm tra loại dữ liệu</t>
  </si>
  <si>
    <t>Cấu trúc Row</t>
  </si>
  <si>
    <r>
      <t xml:space="preserve">- Mỗi row đại diện cho </t>
    </r>
    <r>
      <rPr>
        <b/>
        <sz val="11"/>
        <color theme="1"/>
        <rFont val="Arial"/>
        <family val="2"/>
        <charset val="163"/>
        <scheme val="minor"/>
      </rPr>
      <t>một quan sát duy nhất</t>
    </r>
    <r>
      <rPr>
        <sz val="11"/>
        <color theme="1"/>
        <rFont val="Arial"/>
        <family val="2"/>
        <charset val="163"/>
        <scheme val="minor"/>
      </rPr>
      <t xml:space="preserve"> (một chi tiết sản phẩm trong đơn hàng) - Không gộp nhiều giá trị vào một ô (ví dụ: nhiều mã đơn trong một cell) - Không có row trống giữa dữ liệu</t>
    </r>
  </si>
  <si>
    <t>- Filter → Blank rows - Text to Columns hoặc Find &amp; Replace để kiểm tra dấu phẩy/phân cách trong ô</t>
  </si>
  <si>
    <t>Dữ liệu thiếu (Completeness)</t>
  </si>
  <si>
    <t>- Tỷ lệ ô trống &lt; 5% ở cột quan trọng (Mã đơn hàng, Số lượng, Đơn giá) - Không thiếu ở cột bắt buộc (có thể dùng Data Validation để ngăn chặn từ nguồn)</t>
  </si>
  <si>
    <t>- Go To Special → Blanks (highlight &amp; đếm) - Filter → Blank - COUNTBLANK hoặc PivotTable đếm % thiếu</t>
  </si>
  <si>
    <t>5</t>
  </si>
  <si>
    <t>Dữ liệu trùng lặp (Uniqueness)</t>
  </si>
  <si>
    <t>- Không có dòng trùng hoàn toàn - Trùng một phần (cùng Mã đơn hàng) chỉ nếu là chi tiết sản phẩm khác nhau - Không có trùng lặp không hợp lý (ví dụ: cùng đơn hàng, cùng sản phẩm)</t>
  </si>
  <si>
    <t>- Conditional Formatting → Highlight Cells Rules → Duplicate Values (trên Mã đơn hàng hoặc toàn bộ row) - Data → Remove Duplicates (kiểm tra trước)</t>
  </si>
  <si>
    <t>Nhiệm vụ 2 - Thiết kế quy trình làm sạch dữ liệu chuẩn</t>
  </si>
  <si>
    <t>Bước</t>
  </si>
  <si>
    <t>Tên bước</t>
  </si>
  <si>
    <t>Mô tả chi tiết</t>
  </si>
  <si>
    <t>Công cụ sử dụng</t>
  </si>
  <si>
    <t>Đầu ra</t>
  </si>
  <si>
    <t>Chuẩn bị &amp; Backup</t>
  </si>
  <si>
    <t>Sao chép sheet gốc sang sheet mới. Đổi tên file với ngày (ví dụ: Sales_2023_Clean_YYYYMMDD). Kiểm tra tổng quan dữ liệu (số dòng, số cột).</t>
  </si>
  <si>
    <t>Copy sheet, Save As</t>
  </si>
  <si>
    <t>Bản sao gốc an toàn, sheet làm việc mới</t>
  </si>
  <si>
    <t>Sửa cấu trúc &amp; loại bỏ dòng trống</t>
  </si>
  <si>
    <t>Xóa dòng trống giữa bảng. Chuyển thành Excel Table. Kiểm tra &amp; sửa tên cột đầy đủ, loại bỏ cột thừa.</t>
  </si>
  <si>
    <t>Go To Special → Blanks + Delete Row Insert → Table Filter</t>
  </si>
  <si>
    <t>Bảng liên tục, cấu trúc chuẩn (tidy data)</t>
  </si>
  <si>
    <t>Xử lý dữ liệu thiếu &amp; chuẩn hóa</t>
  </si>
  <si>
    <t>Thay thế thiếu bằng tra cứu (VLOOKUP/XLOOKUP từ sheet BangGia/NhanVien). Xóa dòng thiếu Số lượng. Chuẩn hóa text (TRIM, PROPER), date/number format.</t>
  </si>
  <si>
    <t>VLOOKUP/XLOOKUP + IFERROR Find &amp; Replace TRIM, PROPER, Format Cells</t>
  </si>
  <si>
    <t>Không còn ô trống quan trọng, định dạng thống nhất</t>
  </si>
  <si>
    <t>Xử lý trùng lặp &amp; kiểm tra tính nhất quán</t>
  </si>
  <si>
    <t>Highlight &amp; loại bỏ trùng hoàn toàn. Kiểm tra thủ công trùng một phần (cùng Mã đơn hàng). Kiểm tra tính nhất quán (ví dụ: Đơn giá khớp BangGia).</t>
  </si>
  <si>
    <t>Conditional Formatting → Duplicates Data → Remove Duplicates Filter theo Mã đơn hàng</t>
  </si>
  <si>
    <t>Không trùng hoàn toàn, trùng một phần hợp lý</t>
  </si>
  <si>
    <t>Kiểm tra cuối &amp; Tài liệu hóa</t>
  </si>
  <si>
    <t>Chạy checklist lại. Tạo PivotTable test (tổng doanh thu, top sản phẩm). Ghi chú thay đổi vào sheet riêng. Lưu file sạch.</t>
  </si>
  <si>
    <t>PivotTable test Checklist từ Nhiệm vụ 1 Comments hoặc sheet Documentation</t>
  </si>
  <si>
    <t>Dữ liệu sạch ≥98%, báo cáo sẵn sàng, có audit trail</t>
  </si>
  <si>
    <t>Nhiệm vụ 3: Dự đoán hiệu quả khi áp dụng quy trình</t>
  </si>
  <si>
    <t>Tiêu chí</t>
  </si>
  <si>
    <t>Hiện tại (không có quy trình)</t>
  </si>
  <si>
    <t>Sau khi áp dụng (dự kiến)</t>
  </si>
  <si>
    <t>Thời gian kiểm tra dữ liệu</t>
  </si>
  <si>
    <t>Không cố định (mỗi chi nhánh khác nhau, thường 1-2 giờ hoặc bỏ qua)</t>
  </si>
  <si>
    <t>Cố định 15-30 phút/file nhờ checklist &amp; quy trình rõ ràng</t>
  </si>
  <si>
    <t>Tỷ lệ lỗi phát hiện được</t>
  </si>
  <si>
    <t>Thấp (chỉ thấy khi phân tích → phát hiện muộn)</t>
  </si>
  <si>
    <t>Cao (80-95%) nhờ kiểm tra chủ động trước khi gửi báo cáo</t>
  </si>
  <si>
    <t>Độ tin cậy của báo cáo</t>
  </si>
  <si>
    <t>Không đảm bảo (doanh thu thường sai lệch 5-15%)</t>
  </si>
  <si>
    <t>Cao (≥98% chính xác), quản lý tin tưởng hơn</t>
  </si>
  <si>
    <t>Thời gian làm lại do lỗi dữ liệu</t>
  </si>
  <si>
    <t>Nhiều (2-3 lần/tháng, mất 4-8 giờ/lần)</t>
  </si>
  <si>
    <t>Ít (giảm còn 0-1 lần/tháng, tiết kiệm 80% thời gian làm lại)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</si>
  <si>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</si>
  <si>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</si>
  <si>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</si>
  <si>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</si>
  <si>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</si>
  <si>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</si>
  <si>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</si>
  <si>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</si>
  <si>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</si>
  <si>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</si>
  <si>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</si>
  <si>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</si>
  <si>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</si>
  <si>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</si>
  <si>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</si>
  <si>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</si>
  <si>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</si>
  <si>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</si>
  <si>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</si>
  <si>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</si>
  <si>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</si>
  <si>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</si>
  <si>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</si>
  <si>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</si>
  <si>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</si>
  <si>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</si>
  <si>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</si>
  <si>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</si>
  <si>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</si>
  <si>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</si>
  <si>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</si>
  <si>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</si>
  <si>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</si>
  <si>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</si>
  <si>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</si>
  <si>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</si>
  <si>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</si>
  <si>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</si>
  <si>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</si>
  <si>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</si>
  <si>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</si>
  <si>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</si>
  <si>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</si>
  <si>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</si>
  <si>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7/29/2023</t>
  </si>
  <si>
    <t>7/30/2023</t>
  </si>
  <si>
    <t>7/31/2023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</si>
  <si>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</si>
  <si>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</si>
  <si>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</si>
  <si>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</si>
  <si>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</si>
  <si>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</si>
  <si>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</si>
  <si>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</si>
  <si>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</si>
  <si>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</si>
  <si>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</si>
  <si>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</si>
  <si>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</si>
  <si>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</si>
  <si>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</si>
  <si>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</si>
  <si>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</si>
  <si>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</si>
  <si>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Nhân viên bán hàng</t>
  </si>
  <si>
    <t>Khu vực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</si>
  <si>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</si>
  <si>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</si>
  <si>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</si>
  <si>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</si>
  <si>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</si>
  <si>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</si>
  <si>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</si>
  <si>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</si>
  <si>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</si>
  <si>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</si>
  <si>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</si>
  <si>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</si>
  <si>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</si>
  <si>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</si>
  <si>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</si>
  <si>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</si>
  <si>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</si>
  <si>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</si>
  <si>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</si>
  <si>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</si>
  <si>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</si>
  <si>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</si>
  <si>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NGUYỄN VĂN AN</t>
  </si>
  <si>
    <t>Tai nghe Sony WH-1000XM5</t>
  </si>
  <si>
    <t>ORD-230107</t>
  </si>
  <si>
    <t>ORD-230108</t>
  </si>
  <si>
    <t>Lê Hoàng Nam</t>
  </si>
  <si>
    <t>ORD-230109</t>
  </si>
  <si>
    <t>Phạm Quang Dũng</t>
  </si>
  <si>
    <t>ORD-230110</t>
  </si>
  <si>
    <t>hoàng thị mai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</si>
  <si>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</si>
  <si>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</si>
  <si>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</si>
  <si>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</si>
  <si>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</si>
  <si>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</si>
  <si>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</si>
  <si>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</si>
  <si>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</si>
  <si>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Nguyễn Văn An</t>
  </si>
  <si>
    <t>ORD-230117</t>
  </si>
  <si>
    <t>trần thị bình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</si>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</sst>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3"/>
      <color rgb="FF1A1C1E"/>
      <name val="Arial"/>
      <family val="2"/>
    </font>
    <font>
      <sz val="12"/>
      <color theme="1"/>
      <name val="Aptos Narrow"/>
    </font>
    <font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2131-A1EC-4100-A31A-4E947629DAF9}">
  <dimension ref="A1:F11"/>
  <sheetViews>
    <sheetView workbookViewId="0">
      <selection activeCell="D1" sqref="D1:F11"/>
    </sheetView>
  </sheetViews>
  <sheetFormatPr defaultRowHeight="13.8"/>
  <cols>
    <col min="1" max="1" width="24.69921875" customWidth="1"/>
    <col min="2" max="2" width="64" customWidth="1"/>
    <col min="4" max="4" width="13.296875" customWidth="1"/>
    <col min="5" max="5" width="13.09765625" customWidth="1"/>
    <col min="6" max="6" width="50.69921875" customWidth="1"/>
  </cols>
  <sheetData>
    <row r="1" spans="1:6" ht="17.399999999999999">
      <c r="A1" s="4" t="s">
        <v>0</v>
      </c>
      <c r="B1" s="4"/>
      <c r="D1" s="4" t="s">
        <v>11</v>
      </c>
      <c r="E1" s="4"/>
      <c r="F1" s="4"/>
    </row>
    <row r="2" spans="1:6">
      <c r="A2" s="5" t="s">
        <v>1</v>
      </c>
      <c r="B2" s="5" t="s">
        <v>10</v>
      </c>
      <c r="D2" s="5" t="s">
        <v>12</v>
      </c>
      <c r="E2" s="5" t="s">
        <v>13</v>
      </c>
      <c r="F2" s="5" t="s">
        <v>14</v>
      </c>
    </row>
    <row r="3" spans="1:6" ht="41.4">
      <c r="A3" s="6" t="s">
        <v>2</v>
      </c>
      <c r="B3" s="6" t="s">
        <v>3</v>
      </c>
      <c r="D3" s="6" t="s">
        <v>15</v>
      </c>
      <c r="E3" s="6" t="s">
        <v>16</v>
      </c>
      <c r="F3" s="7" t="s">
        <v>17</v>
      </c>
    </row>
    <row r="4" spans="1:6" ht="41.4">
      <c r="A4" s="6" t="s">
        <v>4</v>
      </c>
      <c r="B4" s="6" t="s">
        <v>5</v>
      </c>
      <c r="D4" s="6" t="s">
        <v>18</v>
      </c>
      <c r="E4" s="6" t="s">
        <v>19</v>
      </c>
      <c r="F4" s="7" t="s">
        <v>20</v>
      </c>
    </row>
    <row r="5" spans="1:6" ht="41.4">
      <c r="A5" s="6" t="s">
        <v>6</v>
      </c>
      <c r="B5" s="6" t="s">
        <v>7</v>
      </c>
      <c r="D5" s="6" t="s">
        <v>21</v>
      </c>
      <c r="E5" s="6" t="s">
        <v>16</v>
      </c>
      <c r="F5" s="7" t="s">
        <v>22</v>
      </c>
    </row>
    <row r="6" spans="1:6" ht="41.4">
      <c r="A6" s="6" t="s">
        <v>8</v>
      </c>
      <c r="B6" s="7" t="s">
        <v>9</v>
      </c>
      <c r="D6" s="6" t="s">
        <v>23</v>
      </c>
      <c r="E6" s="6" t="s">
        <v>16</v>
      </c>
      <c r="F6" s="7" t="s">
        <v>24</v>
      </c>
    </row>
    <row r="7" spans="1:6" ht="41.4">
      <c r="D7" s="6" t="s">
        <v>25</v>
      </c>
      <c r="E7" s="6" t="s">
        <v>16</v>
      </c>
      <c r="F7" s="7" t="s">
        <v>26</v>
      </c>
    </row>
    <row r="8" spans="1:6" ht="41.4">
      <c r="D8" s="6" t="s">
        <v>27</v>
      </c>
      <c r="E8" s="6" t="s">
        <v>28</v>
      </c>
      <c r="F8" s="7" t="s">
        <v>29</v>
      </c>
    </row>
    <row r="9" spans="1:6" ht="41.4">
      <c r="D9" s="6" t="s">
        <v>30</v>
      </c>
      <c r="E9" s="6" t="s">
        <v>28</v>
      </c>
      <c r="F9" s="7" t="s">
        <v>31</v>
      </c>
    </row>
    <row r="10" spans="1:6" ht="41.4">
      <c r="D10" s="6" t="s">
        <v>32</v>
      </c>
      <c r="E10" s="6" t="s">
        <v>16</v>
      </c>
      <c r="F10" s="7" t="s">
        <v>33</v>
      </c>
    </row>
    <row r="11" spans="1:6" ht="41.4">
      <c r="D11" s="6" t="s">
        <v>34</v>
      </c>
      <c r="E11" s="6" t="s">
        <v>16</v>
      </c>
      <c r="F11" s="7" t="s">
        <v>35</v>
      </c>
    </row>
  </sheetData>
  <mergeCells count="2">
    <mergeCell ref="A1:B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D20D-15EF-413B-AE2F-53725AFA0525}">
  <dimension ref="A1:H7"/>
  <sheetViews>
    <sheetView topLeftCell="D1" workbookViewId="0">
      <selection activeCell="F1" sqref="F1:H4"/>
    </sheetView>
  </sheetViews>
  <sheetFormatPr defaultRowHeight="13.8"/>
  <cols>
    <col min="1" max="1" width="8.796875" customWidth="1"/>
    <col min="2" max="2" width="47.09765625" customWidth="1"/>
    <col min="3" max="3" width="14.09765625" customWidth="1"/>
    <col min="4" max="4" width="63.8984375" customWidth="1"/>
    <col min="6" max="6" width="6.296875" customWidth="1"/>
    <col min="7" max="7" width="58.3984375" customWidth="1"/>
    <col min="8" max="8" width="71.3984375" customWidth="1"/>
  </cols>
  <sheetData>
    <row r="1" spans="1:8" ht="17.399999999999999">
      <c r="A1" s="4" t="s">
        <v>36</v>
      </c>
      <c r="B1" s="4"/>
      <c r="C1" s="4"/>
      <c r="D1" s="4"/>
      <c r="F1" s="4" t="s">
        <v>54</v>
      </c>
      <c r="G1" s="4"/>
      <c r="H1" s="4"/>
    </row>
    <row r="2" spans="1:8" ht="41.4">
      <c r="A2" s="5" t="s">
        <v>37</v>
      </c>
      <c r="B2" s="5" t="s">
        <v>38</v>
      </c>
      <c r="C2" s="5" t="s">
        <v>39</v>
      </c>
      <c r="D2" s="5" t="s">
        <v>40</v>
      </c>
      <c r="F2" s="5" t="s">
        <v>37</v>
      </c>
      <c r="G2" s="5" t="s">
        <v>55</v>
      </c>
      <c r="H2" s="5" t="s">
        <v>56</v>
      </c>
    </row>
    <row r="3" spans="1:8" ht="55.2">
      <c r="A3" s="8">
        <v>1</v>
      </c>
      <c r="B3" s="8" t="s">
        <v>41</v>
      </c>
      <c r="C3" s="8" t="s">
        <v>42</v>
      </c>
      <c r="D3" s="8" t="s">
        <v>49</v>
      </c>
      <c r="F3" s="6">
        <v>3</v>
      </c>
      <c r="G3" s="6" t="s">
        <v>57</v>
      </c>
      <c r="H3" s="6" t="s">
        <v>58</v>
      </c>
    </row>
    <row r="4" spans="1:8" ht="55.2">
      <c r="A4" s="8">
        <v>2</v>
      </c>
      <c r="B4" s="8" t="s">
        <v>43</v>
      </c>
      <c r="C4" s="8" t="s">
        <v>44</v>
      </c>
      <c r="D4" s="8" t="s">
        <v>50</v>
      </c>
      <c r="F4" s="6">
        <v>5</v>
      </c>
      <c r="G4" s="6" t="s">
        <v>59</v>
      </c>
      <c r="H4" s="6" t="s">
        <v>60</v>
      </c>
    </row>
    <row r="5" spans="1:8" ht="27.6">
      <c r="A5" s="8">
        <v>3</v>
      </c>
      <c r="B5" s="8" t="s">
        <v>45</v>
      </c>
      <c r="C5" s="8" t="s">
        <v>46</v>
      </c>
      <c r="D5" s="8" t="s">
        <v>51</v>
      </c>
    </row>
    <row r="6" spans="1:8" ht="41.4">
      <c r="A6" s="8">
        <v>4</v>
      </c>
      <c r="B6" s="8" t="s">
        <v>47</v>
      </c>
      <c r="C6" s="8" t="s">
        <v>44</v>
      </c>
      <c r="D6" s="8" t="s">
        <v>52</v>
      </c>
    </row>
    <row r="7" spans="1:8" ht="27.6">
      <c r="A7" s="8">
        <v>5</v>
      </c>
      <c r="B7" s="8" t="s">
        <v>48</v>
      </c>
      <c r="C7" s="8" t="s">
        <v>46</v>
      </c>
      <c r="D7" s="8" t="s">
        <v>53</v>
      </c>
    </row>
  </sheetData>
  <mergeCells count="2">
    <mergeCell ref="A1:D1"/>
    <mergeCell ref="F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EF95-FE0B-48F2-BCAB-297366A41BDB}">
  <dimension ref="A1:J16"/>
  <sheetViews>
    <sheetView topLeftCell="A6" workbookViewId="0">
      <selection activeCell="A11" sqref="A11:C16"/>
    </sheetView>
  </sheetViews>
  <sheetFormatPr defaultRowHeight="13.8"/>
  <cols>
    <col min="1" max="1" width="12.19921875" customWidth="1"/>
    <col min="2" max="2" width="20.5" customWidth="1"/>
    <col min="3" max="3" width="24.69921875" customWidth="1"/>
    <col min="5" max="5" width="27.69921875" customWidth="1"/>
    <col min="7" max="7" width="11.8984375" customWidth="1"/>
    <col min="8" max="8" width="18.3984375" customWidth="1"/>
    <col min="9" max="9" width="40.59765625" customWidth="1"/>
    <col min="10" max="10" width="37.59765625" customWidth="1"/>
  </cols>
  <sheetData>
    <row r="1" spans="1:10" ht="17.399999999999999">
      <c r="A1" s="4" t="s">
        <v>61</v>
      </c>
      <c r="B1" s="4"/>
      <c r="C1" s="4"/>
      <c r="D1" s="4"/>
      <c r="E1" s="4"/>
      <c r="G1" s="4" t="s">
        <v>74</v>
      </c>
      <c r="H1" s="4"/>
      <c r="I1" s="4"/>
      <c r="J1" s="4"/>
    </row>
    <row r="2" spans="1:10" ht="41.4">
      <c r="A2" s="5" t="s">
        <v>62</v>
      </c>
      <c r="B2" s="5" t="s">
        <v>63</v>
      </c>
      <c r="C2" s="5" t="s">
        <v>64</v>
      </c>
      <c r="D2" s="5" t="s">
        <v>65</v>
      </c>
      <c r="E2" s="5" t="s">
        <v>66</v>
      </c>
      <c r="G2" s="5" t="s">
        <v>75</v>
      </c>
      <c r="H2" s="5" t="s">
        <v>76</v>
      </c>
      <c r="I2" s="5" t="s">
        <v>77</v>
      </c>
      <c r="J2" s="5" t="s">
        <v>78</v>
      </c>
    </row>
    <row r="3" spans="1:10" ht="41.4">
      <c r="A3" s="6" t="s">
        <v>15</v>
      </c>
      <c r="B3" s="6">
        <v>8</v>
      </c>
      <c r="C3" s="9">
        <v>0.08</v>
      </c>
      <c r="D3" s="6" t="s">
        <v>67</v>
      </c>
      <c r="E3" s="6" t="s">
        <v>68</v>
      </c>
      <c r="G3" s="6" t="s">
        <v>15</v>
      </c>
      <c r="H3" s="7" t="s">
        <v>79</v>
      </c>
      <c r="I3" s="6" t="s">
        <v>80</v>
      </c>
      <c r="J3" s="6" t="s">
        <v>81</v>
      </c>
    </row>
    <row r="4" spans="1:10" ht="27.6">
      <c r="A4" s="6" t="s">
        <v>21</v>
      </c>
      <c r="B4" s="6">
        <v>12</v>
      </c>
      <c r="C4" s="9">
        <v>0.12</v>
      </c>
      <c r="D4" s="6" t="s">
        <v>67</v>
      </c>
      <c r="E4" s="6" t="s">
        <v>69</v>
      </c>
      <c r="G4" s="6" t="s">
        <v>21</v>
      </c>
      <c r="H4" s="7" t="s">
        <v>79</v>
      </c>
      <c r="I4" s="6" t="s">
        <v>82</v>
      </c>
      <c r="J4" s="6" t="s">
        <v>83</v>
      </c>
    </row>
    <row r="5" spans="1:10" ht="41.4">
      <c r="A5" s="6" t="s">
        <v>23</v>
      </c>
      <c r="B5" s="6">
        <v>5</v>
      </c>
      <c r="C5" s="9">
        <v>0.05</v>
      </c>
      <c r="D5" s="6" t="s">
        <v>67</v>
      </c>
      <c r="E5" s="6" t="s">
        <v>70</v>
      </c>
      <c r="G5" s="6" t="s">
        <v>23</v>
      </c>
      <c r="H5" s="7" t="s">
        <v>79</v>
      </c>
      <c r="I5" s="6" t="s">
        <v>84</v>
      </c>
      <c r="J5" s="6" t="s">
        <v>85</v>
      </c>
    </row>
    <row r="6" spans="1:10" ht="55.2">
      <c r="A6" s="6" t="s">
        <v>27</v>
      </c>
      <c r="B6" s="6">
        <v>3</v>
      </c>
      <c r="C6" s="9">
        <v>0.03</v>
      </c>
      <c r="D6" s="6" t="s">
        <v>71</v>
      </c>
      <c r="E6" s="6" t="s">
        <v>72</v>
      </c>
      <c r="G6" s="6" t="s">
        <v>27</v>
      </c>
      <c r="H6" s="7" t="s">
        <v>86</v>
      </c>
      <c r="I6" s="6" t="s">
        <v>87</v>
      </c>
      <c r="J6" s="6" t="s">
        <v>88</v>
      </c>
    </row>
    <row r="7" spans="1:10" ht="41.4">
      <c r="A7" s="6" t="s">
        <v>30</v>
      </c>
      <c r="B7" s="6">
        <v>15</v>
      </c>
      <c r="C7" s="9">
        <v>0.15</v>
      </c>
      <c r="D7" s="6" t="s">
        <v>67</v>
      </c>
      <c r="E7" s="6" t="s">
        <v>73</v>
      </c>
      <c r="G7" s="6" t="s">
        <v>30</v>
      </c>
      <c r="H7" s="7" t="s">
        <v>79</v>
      </c>
      <c r="I7" s="6" t="s">
        <v>89</v>
      </c>
      <c r="J7" s="6" t="s">
        <v>90</v>
      </c>
    </row>
    <row r="11" spans="1:10" ht="17.399999999999999">
      <c r="A11" s="4" t="s">
        <v>91</v>
      </c>
      <c r="B11" s="4"/>
      <c r="C11" s="4"/>
    </row>
    <row r="12" spans="1:10">
      <c r="A12" s="10"/>
      <c r="B12" s="10"/>
      <c r="C12" s="10"/>
    </row>
    <row r="13" spans="1:10" ht="27.6">
      <c r="A13" s="5" t="s">
        <v>92</v>
      </c>
      <c r="B13" s="5" t="s">
        <v>93</v>
      </c>
      <c r="C13" s="5" t="s">
        <v>94</v>
      </c>
    </row>
    <row r="14" spans="1:10" ht="69">
      <c r="A14" s="6" t="s">
        <v>95</v>
      </c>
      <c r="B14" s="7" t="s">
        <v>96</v>
      </c>
      <c r="C14" s="6" t="s">
        <v>97</v>
      </c>
    </row>
    <row r="15" spans="1:10" ht="69">
      <c r="A15" s="6" t="s">
        <v>98</v>
      </c>
      <c r="B15" s="7" t="s">
        <v>99</v>
      </c>
      <c r="C15" s="6" t="s">
        <v>100</v>
      </c>
    </row>
    <row r="16" spans="1:10" ht="96.6">
      <c r="A16" s="6" t="s">
        <v>101</v>
      </c>
      <c r="B16" s="7" t="s">
        <v>102</v>
      </c>
      <c r="C16" s="6" t="s">
        <v>103</v>
      </c>
    </row>
  </sheetData>
  <mergeCells count="3">
    <mergeCell ref="A1:E1"/>
    <mergeCell ref="G1:J1"/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FB69-714B-40D5-83C4-1EA1F3A61E3C}">
  <dimension ref="A1:J12"/>
  <sheetViews>
    <sheetView topLeftCell="A5" workbookViewId="0">
      <selection activeCell="G19" sqref="G19"/>
    </sheetView>
  </sheetViews>
  <sheetFormatPr defaultRowHeight="13.8"/>
  <cols>
    <col min="1" max="1" width="12.59765625" customWidth="1"/>
    <col min="2" max="2" width="14.09765625" customWidth="1"/>
    <col min="3" max="3" width="33.796875" customWidth="1"/>
    <col min="4" max="4" width="15" customWidth="1"/>
    <col min="6" max="6" width="13.59765625" customWidth="1"/>
    <col min="7" max="7" width="20.796875" customWidth="1"/>
    <col min="8" max="8" width="27.09765625" customWidth="1"/>
    <col min="9" max="9" width="18.296875" customWidth="1"/>
    <col min="10" max="10" width="47.19921875" customWidth="1"/>
  </cols>
  <sheetData>
    <row r="1" spans="1:10" ht="17.399999999999999">
      <c r="A1" s="4" t="s">
        <v>104</v>
      </c>
      <c r="B1" s="4"/>
      <c r="C1" s="4"/>
      <c r="D1" s="4"/>
      <c r="E1" s="1"/>
      <c r="F1" s="4" t="s">
        <v>119</v>
      </c>
      <c r="G1" s="4"/>
      <c r="H1" s="4"/>
      <c r="I1" s="4"/>
      <c r="J1" s="4"/>
    </row>
    <row r="2" spans="1:10" ht="41.4">
      <c r="A2" s="5" t="s">
        <v>105</v>
      </c>
      <c r="B2" s="5" t="s">
        <v>106</v>
      </c>
      <c r="C2" s="5" t="s">
        <v>107</v>
      </c>
      <c r="D2" s="5" t="s">
        <v>108</v>
      </c>
      <c r="F2" s="5" t="s">
        <v>15</v>
      </c>
      <c r="G2" s="5" t="s">
        <v>120</v>
      </c>
      <c r="H2" s="5" t="s">
        <v>121</v>
      </c>
      <c r="I2" s="5" t="s">
        <v>122</v>
      </c>
      <c r="J2" s="5" t="s">
        <v>123</v>
      </c>
    </row>
    <row r="3" spans="1:10" ht="27.6">
      <c r="A3" s="6" t="s">
        <v>109</v>
      </c>
      <c r="B3" s="6">
        <v>3</v>
      </c>
      <c r="C3" s="6" t="s">
        <v>110</v>
      </c>
      <c r="D3" s="6" t="s">
        <v>111</v>
      </c>
      <c r="F3" s="6" t="s">
        <v>109</v>
      </c>
      <c r="G3" s="6" t="s">
        <v>124</v>
      </c>
      <c r="H3" s="6" t="s">
        <v>125</v>
      </c>
      <c r="I3" s="6" t="s">
        <v>126</v>
      </c>
      <c r="J3" s="6" t="s">
        <v>127</v>
      </c>
    </row>
    <row r="4" spans="1:10" ht="27.6">
      <c r="A4" s="6" t="s">
        <v>112</v>
      </c>
      <c r="B4" s="6">
        <v>2</v>
      </c>
      <c r="C4" s="6" t="s">
        <v>113</v>
      </c>
      <c r="D4" s="6" t="s">
        <v>114</v>
      </c>
      <c r="F4" s="6" t="s">
        <v>112</v>
      </c>
      <c r="G4" s="6" t="s">
        <v>128</v>
      </c>
      <c r="H4" s="6" t="s">
        <v>71</v>
      </c>
      <c r="I4" s="6" t="s">
        <v>129</v>
      </c>
      <c r="J4" s="6" t="s">
        <v>130</v>
      </c>
    </row>
    <row r="5" spans="1:10" ht="27.6">
      <c r="A5" s="6" t="s">
        <v>115</v>
      </c>
      <c r="B5" s="6">
        <v>2</v>
      </c>
      <c r="C5" s="6" t="s">
        <v>116</v>
      </c>
      <c r="D5" s="6" t="s">
        <v>111</v>
      </c>
      <c r="F5" s="6" t="s">
        <v>115</v>
      </c>
      <c r="G5" s="6" t="s">
        <v>124</v>
      </c>
      <c r="H5" s="6" t="s">
        <v>131</v>
      </c>
      <c r="I5" s="6" t="s">
        <v>126</v>
      </c>
      <c r="J5" s="6" t="s">
        <v>132</v>
      </c>
    </row>
    <row r="6" spans="1:10" ht="27.6">
      <c r="A6" s="6" t="s">
        <v>117</v>
      </c>
      <c r="B6" s="6">
        <v>2</v>
      </c>
      <c r="C6" s="6" t="s">
        <v>118</v>
      </c>
      <c r="D6" s="6" t="s">
        <v>114</v>
      </c>
      <c r="F6" s="6" t="s">
        <v>117</v>
      </c>
      <c r="G6" s="6" t="s">
        <v>128</v>
      </c>
      <c r="H6" s="6" t="s">
        <v>71</v>
      </c>
      <c r="I6" s="6" t="s">
        <v>129</v>
      </c>
      <c r="J6" s="6" t="s">
        <v>133</v>
      </c>
    </row>
    <row r="9" spans="1:10" ht="17.399999999999999">
      <c r="A9" s="4" t="s">
        <v>134</v>
      </c>
      <c r="B9" s="4"/>
      <c r="C9" s="4"/>
    </row>
    <row r="10" spans="1:10" ht="27.6">
      <c r="A10" s="5" t="s">
        <v>1</v>
      </c>
      <c r="B10" s="5" t="s">
        <v>135</v>
      </c>
      <c r="C10" s="5" t="s">
        <v>136</v>
      </c>
    </row>
    <row r="11" spans="1:10" ht="41.4">
      <c r="A11" s="6" t="s">
        <v>137</v>
      </c>
      <c r="B11" s="7" t="s">
        <v>138</v>
      </c>
      <c r="C11" s="6" t="s">
        <v>139</v>
      </c>
    </row>
    <row r="12" spans="1:10" ht="82.8">
      <c r="A12" s="6" t="s">
        <v>140</v>
      </c>
      <c r="B12" s="7" t="s">
        <v>141</v>
      </c>
      <c r="C12" s="6" t="s">
        <v>142</v>
      </c>
    </row>
  </sheetData>
  <mergeCells count="3">
    <mergeCell ref="A1:D1"/>
    <mergeCell ref="F1:J1"/>
    <mergeCell ref="A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A7A1-0693-4DA7-8F5B-830E706D776A}">
  <dimension ref="A1:O19"/>
  <sheetViews>
    <sheetView topLeftCell="A8" workbookViewId="0">
      <selection activeCell="E15" sqref="E15"/>
    </sheetView>
  </sheetViews>
  <sheetFormatPr defaultRowHeight="13.8"/>
  <cols>
    <col min="1" max="1" width="18.796875" customWidth="1"/>
    <col min="2" max="2" width="18.69921875" customWidth="1"/>
    <col min="3" max="3" width="42.19921875" customWidth="1"/>
    <col min="5" max="5" width="41.59765625" customWidth="1"/>
    <col min="6" max="6" width="8.796875" customWidth="1"/>
    <col min="7" max="7" width="4.69921875" customWidth="1"/>
    <col min="8" max="8" width="24.796875" customWidth="1"/>
    <col min="9" max="9" width="35.3984375" customWidth="1"/>
    <col min="10" max="10" width="28.8984375" customWidth="1"/>
    <col min="12" max="12" width="21.5" customWidth="1"/>
    <col min="13" max="13" width="23.296875" customWidth="1"/>
    <col min="14" max="14" width="33.69921875" customWidth="1"/>
    <col min="15" max="15" width="21" customWidth="1"/>
  </cols>
  <sheetData>
    <row r="1" spans="1:15" ht="17.399999999999999">
      <c r="A1" s="4" t="s">
        <v>143</v>
      </c>
      <c r="B1" s="4"/>
      <c r="C1" s="4"/>
      <c r="D1" s="4"/>
      <c r="E1" s="4"/>
      <c r="G1" s="4" t="s">
        <v>161</v>
      </c>
      <c r="H1" s="4"/>
      <c r="I1" s="4"/>
      <c r="J1" s="4"/>
      <c r="L1" s="4" t="s">
        <v>178</v>
      </c>
      <c r="M1" s="4"/>
      <c r="N1" s="4"/>
      <c r="O1" s="4"/>
    </row>
    <row r="2" spans="1:15" ht="41.4">
      <c r="A2" s="5" t="s">
        <v>144</v>
      </c>
      <c r="B2" s="5" t="s">
        <v>27</v>
      </c>
      <c r="C2" s="5" t="s">
        <v>145</v>
      </c>
      <c r="D2" s="5" t="s">
        <v>146</v>
      </c>
      <c r="E2" s="5" t="s">
        <v>147</v>
      </c>
      <c r="G2" s="5" t="s">
        <v>162</v>
      </c>
      <c r="H2" s="5" t="s">
        <v>163</v>
      </c>
      <c r="I2" s="5" t="s">
        <v>164</v>
      </c>
      <c r="J2" s="5" t="s">
        <v>93</v>
      </c>
      <c r="L2" s="5" t="s">
        <v>179</v>
      </c>
      <c r="M2" s="5" t="s">
        <v>180</v>
      </c>
      <c r="N2" s="5" t="s">
        <v>181</v>
      </c>
      <c r="O2" s="5" t="s">
        <v>182</v>
      </c>
    </row>
    <row r="3" spans="1:15" ht="41.4">
      <c r="A3" s="6" t="s">
        <v>148</v>
      </c>
      <c r="B3" s="6" t="s">
        <v>149</v>
      </c>
      <c r="C3" s="6" t="s">
        <v>150</v>
      </c>
      <c r="D3" s="6" t="s">
        <v>151</v>
      </c>
      <c r="E3" s="6" t="s">
        <v>152</v>
      </c>
      <c r="G3" s="6">
        <v>1</v>
      </c>
      <c r="H3" s="6" t="s">
        <v>165</v>
      </c>
      <c r="I3" s="6" t="s">
        <v>166</v>
      </c>
      <c r="J3" s="6" t="s">
        <v>167</v>
      </c>
      <c r="L3" s="6" t="s">
        <v>183</v>
      </c>
      <c r="M3" s="6">
        <v>100</v>
      </c>
      <c r="N3" s="6">
        <v>97</v>
      </c>
      <c r="O3" s="6" t="s">
        <v>184</v>
      </c>
    </row>
    <row r="4" spans="1:15" ht="55.2">
      <c r="A4" s="6" t="s">
        <v>153</v>
      </c>
      <c r="B4" s="6" t="s">
        <v>138</v>
      </c>
      <c r="C4" s="6" t="s">
        <v>154</v>
      </c>
      <c r="D4" s="6" t="s">
        <v>151</v>
      </c>
      <c r="E4" s="6" t="s">
        <v>155</v>
      </c>
      <c r="G4" s="6">
        <v>2</v>
      </c>
      <c r="H4" s="6" t="s">
        <v>168</v>
      </c>
      <c r="I4" s="6" t="s">
        <v>169</v>
      </c>
      <c r="J4" s="6" t="s">
        <v>170</v>
      </c>
      <c r="L4" s="6" t="s">
        <v>185</v>
      </c>
      <c r="M4" s="6" t="s">
        <v>186</v>
      </c>
      <c r="N4" s="6" t="s">
        <v>187</v>
      </c>
      <c r="O4" s="6" t="s">
        <v>188</v>
      </c>
    </row>
    <row r="5" spans="1:15" ht="69">
      <c r="A5" s="6" t="s">
        <v>156</v>
      </c>
      <c r="B5" s="6" t="s">
        <v>157</v>
      </c>
      <c r="C5" s="6" t="s">
        <v>158</v>
      </c>
      <c r="D5" s="6" t="s">
        <v>159</v>
      </c>
      <c r="E5" s="6" t="s">
        <v>160</v>
      </c>
      <c r="G5" s="6">
        <v>3</v>
      </c>
      <c r="H5" s="6" t="s">
        <v>153</v>
      </c>
      <c r="I5" s="6" t="s">
        <v>171</v>
      </c>
      <c r="J5" s="6" t="s">
        <v>172</v>
      </c>
      <c r="L5" s="6" t="s">
        <v>189</v>
      </c>
      <c r="M5" s="6" t="s">
        <v>190</v>
      </c>
      <c r="N5" s="6" t="s">
        <v>191</v>
      </c>
      <c r="O5" s="6" t="s">
        <v>192</v>
      </c>
    </row>
    <row r="6" spans="1:15" ht="41.4">
      <c r="G6" s="6">
        <v>4</v>
      </c>
      <c r="H6" s="6" t="s">
        <v>156</v>
      </c>
      <c r="I6" s="6" t="s">
        <v>173</v>
      </c>
      <c r="J6" s="6" t="s">
        <v>174</v>
      </c>
      <c r="L6" s="6" t="s">
        <v>193</v>
      </c>
      <c r="M6" s="6" t="s">
        <v>194</v>
      </c>
      <c r="N6" s="6" t="s">
        <v>195</v>
      </c>
      <c r="O6" s="6">
        <f>38-43%</f>
        <v>37.57</v>
      </c>
    </row>
    <row r="7" spans="1:15" ht="27.6">
      <c r="G7" s="6">
        <v>5</v>
      </c>
      <c r="H7" s="6" t="s">
        <v>175</v>
      </c>
      <c r="I7" s="6" t="s">
        <v>176</v>
      </c>
      <c r="J7" s="6" t="s">
        <v>177</v>
      </c>
    </row>
    <row r="11" spans="1:15" ht="17.399999999999999">
      <c r="G11" s="1"/>
    </row>
    <row r="12" spans="1:15" ht="17.399999999999999">
      <c r="A12" s="4" t="s">
        <v>196</v>
      </c>
      <c r="B12" s="4"/>
      <c r="C12" s="4"/>
    </row>
    <row r="13" spans="1:15">
      <c r="A13" s="5" t="s">
        <v>197</v>
      </c>
      <c r="B13" s="5" t="s">
        <v>198</v>
      </c>
      <c r="C13" s="5" t="s">
        <v>199</v>
      </c>
    </row>
    <row r="14" spans="1:15" ht="96.6">
      <c r="A14" s="6">
        <v>1</v>
      </c>
      <c r="B14" s="6" t="s">
        <v>200</v>
      </c>
      <c r="C14" s="6" t="s">
        <v>148</v>
      </c>
    </row>
    <row r="15" spans="1:15" ht="96.6">
      <c r="A15" s="6">
        <v>2</v>
      </c>
      <c r="B15" s="6" t="s">
        <v>201</v>
      </c>
      <c r="C15" s="6" t="s">
        <v>202</v>
      </c>
      <c r="G15" s="2"/>
      <c r="H15" s="2"/>
      <c r="I15" s="2"/>
      <c r="J15" s="2"/>
    </row>
    <row r="16" spans="1:15" ht="151.80000000000001">
      <c r="A16" s="6">
        <v>3</v>
      </c>
      <c r="B16" s="6" t="s">
        <v>203</v>
      </c>
      <c r="C16" s="6" t="s">
        <v>204</v>
      </c>
      <c r="G16" s="3"/>
      <c r="H16" s="3"/>
      <c r="I16" s="3"/>
      <c r="J16" s="3"/>
    </row>
    <row r="17" spans="7:10">
      <c r="G17" s="3"/>
      <c r="H17" s="3"/>
      <c r="I17" s="3"/>
      <c r="J17" s="3"/>
    </row>
    <row r="18" spans="7:10">
      <c r="G18" s="3"/>
      <c r="H18" s="3"/>
      <c r="I18" s="3"/>
      <c r="J18" s="3"/>
    </row>
    <row r="19" spans="7:10">
      <c r="G19" s="3"/>
      <c r="H19" s="3"/>
      <c r="I19" s="3"/>
      <c r="J19" s="3"/>
    </row>
  </sheetData>
  <mergeCells count="4">
    <mergeCell ref="A1:E1"/>
    <mergeCell ref="G1:J1"/>
    <mergeCell ref="L1:O1"/>
    <mergeCell ref="A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446D-C410-46C9-B81D-281767A8D929}">
  <dimension ref="A1:J14"/>
  <sheetViews>
    <sheetView topLeftCell="A7" workbookViewId="0">
      <selection activeCell="D22" sqref="D22"/>
    </sheetView>
  </sheetViews>
  <sheetFormatPr defaultRowHeight="13.8"/>
  <cols>
    <col min="1" max="1" width="7.3984375" customWidth="1"/>
    <col min="2" max="2" width="22.69921875" customWidth="1"/>
    <col min="3" max="3" width="43.5" customWidth="1"/>
    <col min="4" max="4" width="27.296875" customWidth="1"/>
    <col min="6" max="6" width="8.296875" customWidth="1"/>
    <col min="7" max="7" width="18.59765625" customWidth="1"/>
    <col min="8" max="8" width="41.69921875" customWidth="1"/>
    <col min="9" max="9" width="18.69921875" customWidth="1"/>
    <col min="10" max="10" width="18.796875" customWidth="1"/>
  </cols>
  <sheetData>
    <row r="1" spans="1:10" ht="17.399999999999999">
      <c r="A1" s="4" t="s">
        <v>205</v>
      </c>
      <c r="B1" s="4"/>
      <c r="C1" s="4"/>
      <c r="D1" s="4"/>
      <c r="F1" s="4" t="s">
        <v>225</v>
      </c>
      <c r="G1" s="4"/>
      <c r="H1" s="4"/>
      <c r="I1" s="4"/>
      <c r="J1" s="4"/>
    </row>
    <row r="2" spans="1:10" ht="27.6">
      <c r="A2" s="5" t="s">
        <v>197</v>
      </c>
      <c r="B2" s="5" t="s">
        <v>206</v>
      </c>
      <c r="C2" s="5" t="s">
        <v>207</v>
      </c>
      <c r="D2" s="5" t="s">
        <v>208</v>
      </c>
      <c r="F2" s="5" t="s">
        <v>226</v>
      </c>
      <c r="G2" s="5" t="s">
        <v>227</v>
      </c>
      <c r="H2" s="5" t="s">
        <v>228</v>
      </c>
      <c r="I2" s="5" t="s">
        <v>229</v>
      </c>
      <c r="J2" s="5" t="s">
        <v>230</v>
      </c>
    </row>
    <row r="3" spans="1:10" ht="55.2">
      <c r="A3" s="6">
        <v>1</v>
      </c>
      <c r="B3" s="6" t="s">
        <v>209</v>
      </c>
      <c r="C3" s="6" t="s">
        <v>210</v>
      </c>
      <c r="D3" s="6" t="s">
        <v>211</v>
      </c>
      <c r="F3" s="6">
        <v>1</v>
      </c>
      <c r="G3" s="6" t="s">
        <v>231</v>
      </c>
      <c r="H3" s="6" t="s">
        <v>232</v>
      </c>
      <c r="I3" s="6" t="s">
        <v>233</v>
      </c>
      <c r="J3" s="6" t="s">
        <v>234</v>
      </c>
    </row>
    <row r="4" spans="1:10" ht="69">
      <c r="A4" s="6">
        <v>2</v>
      </c>
      <c r="B4" s="6" t="s">
        <v>212</v>
      </c>
      <c r="C4" s="6" t="s">
        <v>213</v>
      </c>
      <c r="D4" s="6" t="s">
        <v>214</v>
      </c>
      <c r="F4" s="6">
        <v>2</v>
      </c>
      <c r="G4" s="6" t="s">
        <v>235</v>
      </c>
      <c r="H4" s="6" t="s">
        <v>236</v>
      </c>
      <c r="I4" s="6" t="s">
        <v>237</v>
      </c>
      <c r="J4" s="6" t="s">
        <v>238</v>
      </c>
    </row>
    <row r="5" spans="1:10" ht="69">
      <c r="A5" s="6">
        <v>3</v>
      </c>
      <c r="B5" s="6" t="s">
        <v>215</v>
      </c>
      <c r="C5" s="6" t="s">
        <v>216</v>
      </c>
      <c r="D5" s="6" t="s">
        <v>217</v>
      </c>
      <c r="F5" s="6">
        <v>3</v>
      </c>
      <c r="G5" s="6" t="s">
        <v>239</v>
      </c>
      <c r="H5" s="6" t="s">
        <v>240</v>
      </c>
      <c r="I5" s="6" t="s">
        <v>241</v>
      </c>
      <c r="J5" s="6" t="s">
        <v>242</v>
      </c>
    </row>
    <row r="6" spans="1:10" ht="82.8">
      <c r="A6" s="6">
        <v>4</v>
      </c>
      <c r="B6" s="6" t="s">
        <v>218</v>
      </c>
      <c r="C6" s="6" t="s">
        <v>219</v>
      </c>
      <c r="D6" s="6" t="s">
        <v>220</v>
      </c>
      <c r="F6" s="6">
        <v>4</v>
      </c>
      <c r="G6" s="6" t="s">
        <v>243</v>
      </c>
      <c r="H6" s="6" t="s">
        <v>244</v>
      </c>
      <c r="I6" s="6" t="s">
        <v>245</v>
      </c>
      <c r="J6" s="6" t="s">
        <v>246</v>
      </c>
    </row>
    <row r="7" spans="1:10" ht="82.8">
      <c r="A7" s="6" t="s">
        <v>221</v>
      </c>
      <c r="B7" s="6" t="s">
        <v>222</v>
      </c>
      <c r="C7" s="6" t="s">
        <v>223</v>
      </c>
      <c r="D7" s="6" t="s">
        <v>224</v>
      </c>
      <c r="F7" s="6">
        <v>5</v>
      </c>
      <c r="G7" s="6" t="s">
        <v>247</v>
      </c>
      <c r="H7" s="6" t="s">
        <v>248</v>
      </c>
      <c r="I7" s="6" t="s">
        <v>249</v>
      </c>
      <c r="J7" s="6" t="s">
        <v>250</v>
      </c>
    </row>
    <row r="9" spans="1:10" ht="17.399999999999999">
      <c r="A9" s="4" t="s">
        <v>251</v>
      </c>
      <c r="B9" s="4"/>
      <c r="C9" s="4"/>
    </row>
    <row r="10" spans="1:10" ht="27.6">
      <c r="A10" s="5" t="s">
        <v>252</v>
      </c>
      <c r="B10" s="5" t="s">
        <v>253</v>
      </c>
      <c r="C10" s="5" t="s">
        <v>254</v>
      </c>
    </row>
    <row r="11" spans="1:10" ht="55.2">
      <c r="A11" s="6" t="s">
        <v>255</v>
      </c>
      <c r="B11" s="6" t="s">
        <v>256</v>
      </c>
      <c r="C11" s="6" t="s">
        <v>257</v>
      </c>
    </row>
    <row r="12" spans="1:10" ht="55.2">
      <c r="A12" s="6" t="s">
        <v>258</v>
      </c>
      <c r="B12" s="6" t="s">
        <v>259</v>
      </c>
      <c r="C12" s="6" t="s">
        <v>260</v>
      </c>
    </row>
    <row r="13" spans="1:10" ht="41.4">
      <c r="A13" s="6" t="s">
        <v>261</v>
      </c>
      <c r="B13" s="6" t="s">
        <v>262</v>
      </c>
      <c r="C13" s="6" t="s">
        <v>263</v>
      </c>
    </row>
    <row r="14" spans="1:10" ht="69">
      <c r="A14" s="6" t="s">
        <v>264</v>
      </c>
      <c r="B14" s="6" t="s">
        <v>265</v>
      </c>
      <c r="C14" s="6" t="s">
        <v>266</v>
      </c>
    </row>
  </sheetData>
  <mergeCells count="3">
    <mergeCell ref="A1:D1"/>
    <mergeCell ref="F1:J1"/>
    <mergeCell ref="A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5307-A412-4A7F-A85E-3E698C011B07}">
  <dimension ref="A1:Z989"/>
  <sheetViews>
    <sheetView topLeftCell="A105" workbookViewId="0">
      <selection activeCell="D2" sqref="D2:D125"/>
    </sheetView>
  </sheetViews>
  <sheetFormatPr defaultRowHeight="13.8"/>
  <cols>
    <col min="1" max="1" width="16.09765625" customWidth="1"/>
    <col min="2" max="2" width="11.69921875" bestFit="1" customWidth="1"/>
    <col min="3" max="3" width="21.296875" customWidth="1"/>
    <col min="4" max="4" width="15.3984375" customWidth="1"/>
    <col min="5" max="5" width="29.09765625" customWidth="1"/>
    <col min="6" max="6" width="12.796875" customWidth="1"/>
    <col min="7" max="7" width="19.09765625" customWidth="1"/>
    <col min="8" max="8" width="17.5" customWidth="1"/>
  </cols>
  <sheetData>
    <row r="1" spans="1:26" ht="34.200000000000003" thickBot="1">
      <c r="A1" s="11" t="s">
        <v>15</v>
      </c>
      <c r="B1" s="11" t="s">
        <v>18</v>
      </c>
      <c r="C1" s="11" t="s">
        <v>332</v>
      </c>
      <c r="D1" s="11" t="s">
        <v>333</v>
      </c>
      <c r="E1" s="11" t="s">
        <v>25</v>
      </c>
      <c r="F1" s="11" t="s">
        <v>27</v>
      </c>
      <c r="G1" s="11" t="s">
        <v>30</v>
      </c>
      <c r="H1" s="11" t="s">
        <v>34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7.399999999999999" thickBot="1">
      <c r="A2" s="13" t="s">
        <v>339</v>
      </c>
      <c r="B2" s="14">
        <v>44929</v>
      </c>
      <c r="C2" s="13" t="s">
        <v>340</v>
      </c>
      <c r="D2" s="13" t="s">
        <v>341</v>
      </c>
      <c r="E2" s="13" t="s">
        <v>342</v>
      </c>
      <c r="F2" s="15">
        <v>2</v>
      </c>
      <c r="G2" s="16">
        <v>1800000</v>
      </c>
      <c r="H2" s="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399999999999999" thickBot="1">
      <c r="A3" s="13" t="s">
        <v>343</v>
      </c>
      <c r="B3" s="14">
        <v>44929</v>
      </c>
      <c r="C3" s="13" t="s">
        <v>344</v>
      </c>
      <c r="D3" s="13" t="s">
        <v>345</v>
      </c>
      <c r="E3" s="13" t="s">
        <v>346</v>
      </c>
      <c r="F3" s="15">
        <v>1</v>
      </c>
      <c r="G3" s="16">
        <v>2200000</v>
      </c>
      <c r="H3" s="13" t="s">
        <v>347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200000000000003" thickBot="1">
      <c r="A4" s="13" t="s">
        <v>351</v>
      </c>
      <c r="B4" s="14">
        <v>44931</v>
      </c>
      <c r="C4" s="13" t="s">
        <v>352</v>
      </c>
      <c r="D4" s="13" t="s">
        <v>341</v>
      </c>
      <c r="E4" s="13" t="s">
        <v>353</v>
      </c>
      <c r="F4" s="15">
        <v>3</v>
      </c>
      <c r="G4" s="16">
        <v>2500000</v>
      </c>
      <c r="H4" s="13" t="s">
        <v>354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200000000000003" thickBot="1">
      <c r="A5" s="13" t="s">
        <v>355</v>
      </c>
      <c r="B5" s="14">
        <v>44931</v>
      </c>
      <c r="C5" s="13" t="s">
        <v>356</v>
      </c>
      <c r="D5" s="13" t="s">
        <v>336</v>
      </c>
      <c r="E5" s="13" t="s">
        <v>357</v>
      </c>
      <c r="F5" s="15">
        <v>1</v>
      </c>
      <c r="G5" s="16">
        <v>7500000</v>
      </c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7.399999999999999" thickBot="1">
      <c r="A6" s="13" t="s">
        <v>358</v>
      </c>
      <c r="B6" s="14">
        <v>44932</v>
      </c>
      <c r="C6" s="13" t="s">
        <v>340</v>
      </c>
      <c r="D6" s="13" t="s">
        <v>341</v>
      </c>
      <c r="E6" s="13" t="s">
        <v>337</v>
      </c>
      <c r="F6" s="15">
        <v>1</v>
      </c>
      <c r="G6" s="16">
        <v>25000000</v>
      </c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7.399999999999999" thickBot="1">
      <c r="A7" s="13" t="s">
        <v>359</v>
      </c>
      <c r="B7" s="14">
        <v>44933</v>
      </c>
      <c r="C7" s="13" t="s">
        <v>360</v>
      </c>
      <c r="D7" s="13" t="s">
        <v>345</v>
      </c>
      <c r="E7" s="13" t="s">
        <v>342</v>
      </c>
      <c r="F7" s="15">
        <v>1</v>
      </c>
      <c r="G7" s="16">
        <v>1800000</v>
      </c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7.399999999999999" thickBot="1">
      <c r="A8" s="13" t="s">
        <v>361</v>
      </c>
      <c r="B8" s="14">
        <v>44934</v>
      </c>
      <c r="C8" s="13" t="s">
        <v>362</v>
      </c>
      <c r="D8" s="13" t="s">
        <v>501</v>
      </c>
      <c r="E8" s="13" t="s">
        <v>346</v>
      </c>
      <c r="F8" s="15">
        <v>2</v>
      </c>
      <c r="G8" s="16">
        <v>2200000</v>
      </c>
      <c r="H8" s="1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7.399999999999999" thickBot="1">
      <c r="A9" s="13" t="s">
        <v>363</v>
      </c>
      <c r="B9" s="14">
        <v>44934</v>
      </c>
      <c r="C9" s="13" t="s">
        <v>364</v>
      </c>
      <c r="D9" s="13" t="s">
        <v>341</v>
      </c>
      <c r="E9" s="13" t="s">
        <v>350</v>
      </c>
      <c r="F9" s="15">
        <v>1</v>
      </c>
      <c r="G9" s="16">
        <v>6500000</v>
      </c>
      <c r="H9" s="1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7.399999999999999" thickBot="1">
      <c r="A10" s="13" t="s">
        <v>365</v>
      </c>
      <c r="B10" s="14">
        <v>44935</v>
      </c>
      <c r="C10" s="13" t="s">
        <v>335</v>
      </c>
      <c r="D10" s="13" t="s">
        <v>336</v>
      </c>
      <c r="E10" s="13" t="s">
        <v>353</v>
      </c>
      <c r="F10" s="15">
        <v>1</v>
      </c>
      <c r="G10" s="16">
        <v>2500000</v>
      </c>
      <c r="H10" s="13" t="s">
        <v>366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7.399999999999999" thickBot="1">
      <c r="A11" s="13" t="s">
        <v>368</v>
      </c>
      <c r="B11" s="14">
        <v>44937</v>
      </c>
      <c r="C11" s="13" t="s">
        <v>360</v>
      </c>
      <c r="D11" s="13" t="s">
        <v>345</v>
      </c>
      <c r="E11" s="13" t="s">
        <v>337</v>
      </c>
      <c r="F11" s="15">
        <v>1</v>
      </c>
      <c r="G11" s="16">
        <v>25000000</v>
      </c>
      <c r="H11" s="1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7.399999999999999" thickBot="1">
      <c r="A12" s="13" t="s">
        <v>369</v>
      </c>
      <c r="B12" s="14">
        <v>44938</v>
      </c>
      <c r="C12" s="13" t="s">
        <v>362</v>
      </c>
      <c r="D12" s="13" t="s">
        <v>501</v>
      </c>
      <c r="E12" s="13" t="s">
        <v>370</v>
      </c>
      <c r="F12" s="15">
        <v>1</v>
      </c>
      <c r="G12" s="16">
        <v>1800000</v>
      </c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7.399999999999999" thickBot="1">
      <c r="A13" s="13" t="s">
        <v>371</v>
      </c>
      <c r="B13" s="14">
        <v>44938</v>
      </c>
      <c r="C13" s="13" t="s">
        <v>352</v>
      </c>
      <c r="D13" s="13" t="s">
        <v>341</v>
      </c>
      <c r="E13" s="13" t="s">
        <v>346</v>
      </c>
      <c r="F13" s="15">
        <v>1</v>
      </c>
      <c r="G13" s="16">
        <v>2200000</v>
      </c>
      <c r="H13" s="13" t="s">
        <v>372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7.399999999999999" thickBot="1">
      <c r="A14" s="13" t="s">
        <v>373</v>
      </c>
      <c r="B14" s="14" t="s">
        <v>267</v>
      </c>
      <c r="C14" s="13" t="s">
        <v>374</v>
      </c>
      <c r="D14" s="13" t="s">
        <v>336</v>
      </c>
      <c r="E14" s="13" t="s">
        <v>350</v>
      </c>
      <c r="F14" s="15">
        <v>2</v>
      </c>
      <c r="G14" s="16">
        <v>6500000</v>
      </c>
      <c r="H14" s="1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7.399999999999999" thickBot="1">
      <c r="A15" s="13" t="s">
        <v>375</v>
      </c>
      <c r="B15" s="14" t="s">
        <v>268</v>
      </c>
      <c r="C15" s="13" t="s">
        <v>376</v>
      </c>
      <c r="D15" s="13" t="s">
        <v>341</v>
      </c>
      <c r="E15" s="13" t="s">
        <v>353</v>
      </c>
      <c r="F15" s="15">
        <v>1</v>
      </c>
      <c r="G15" s="16">
        <v>2500000</v>
      </c>
      <c r="H15" s="1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200000000000003" thickBot="1">
      <c r="A16" s="13" t="s">
        <v>377</v>
      </c>
      <c r="B16" s="14" t="s">
        <v>269</v>
      </c>
      <c r="C16" s="13" t="s">
        <v>360</v>
      </c>
      <c r="D16" s="13" t="s">
        <v>345</v>
      </c>
      <c r="E16" s="13" t="s">
        <v>357</v>
      </c>
      <c r="F16" s="15">
        <v>1</v>
      </c>
      <c r="G16" s="16">
        <v>7500000</v>
      </c>
      <c r="H16" s="1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399999999999999" thickBot="1">
      <c r="A17" s="13" t="s">
        <v>378</v>
      </c>
      <c r="B17" s="14" t="s">
        <v>269</v>
      </c>
      <c r="C17" s="13" t="s">
        <v>362</v>
      </c>
      <c r="D17" s="13" t="s">
        <v>501</v>
      </c>
      <c r="E17" s="13" t="s">
        <v>379</v>
      </c>
      <c r="F17" s="15">
        <v>1</v>
      </c>
      <c r="G17" s="16">
        <v>25000000</v>
      </c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399999999999999" thickBot="1">
      <c r="A18" s="13" t="s">
        <v>380</v>
      </c>
      <c r="B18" s="14" t="s">
        <v>270</v>
      </c>
      <c r="C18" s="13" t="s">
        <v>352</v>
      </c>
      <c r="D18" s="13" t="s">
        <v>341</v>
      </c>
      <c r="E18" s="13" t="s">
        <v>342</v>
      </c>
      <c r="F18" s="15">
        <v>3</v>
      </c>
      <c r="G18" s="16">
        <v>1800000</v>
      </c>
      <c r="H18" s="1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399999999999999" thickBot="1">
      <c r="A19" s="13" t="s">
        <v>381</v>
      </c>
      <c r="B19" s="14" t="s">
        <v>271</v>
      </c>
      <c r="C19" s="13" t="s">
        <v>335</v>
      </c>
      <c r="D19" s="13" t="s">
        <v>336</v>
      </c>
      <c r="E19" s="13" t="s">
        <v>346</v>
      </c>
      <c r="F19" s="15">
        <v>1</v>
      </c>
      <c r="G19" s="16">
        <v>2200000</v>
      </c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399999999999999" thickBot="1">
      <c r="A20" s="13" t="s">
        <v>382</v>
      </c>
      <c r="B20" s="14" t="s">
        <v>272</v>
      </c>
      <c r="C20" s="13" t="s">
        <v>340</v>
      </c>
      <c r="D20" s="13" t="s">
        <v>341</v>
      </c>
      <c r="E20" s="13" t="s">
        <v>350</v>
      </c>
      <c r="F20" s="15">
        <v>1</v>
      </c>
      <c r="G20" s="16">
        <v>6500000</v>
      </c>
      <c r="H20" s="13" t="s">
        <v>383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399999999999999" thickBot="1">
      <c r="A21" s="13" t="s">
        <v>384</v>
      </c>
      <c r="B21" s="14" t="s">
        <v>272</v>
      </c>
      <c r="C21" s="13" t="s">
        <v>344</v>
      </c>
      <c r="D21" s="13" t="s">
        <v>345</v>
      </c>
      <c r="E21" s="13" t="s">
        <v>353</v>
      </c>
      <c r="F21" s="15">
        <v>2</v>
      </c>
      <c r="G21" s="16">
        <v>2500000</v>
      </c>
      <c r="H21" s="1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200000000000003" thickBot="1">
      <c r="A22" s="13" t="s">
        <v>385</v>
      </c>
      <c r="B22" s="14" t="s">
        <v>273</v>
      </c>
      <c r="C22" s="13" t="s">
        <v>349</v>
      </c>
      <c r="D22" s="13" t="s">
        <v>501</v>
      </c>
      <c r="E22" s="13" t="s">
        <v>357</v>
      </c>
      <c r="F22" s="15">
        <v>1</v>
      </c>
      <c r="G22" s="16">
        <v>7500000</v>
      </c>
      <c r="H22" s="1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399999999999999" thickBot="1">
      <c r="A23" s="13" t="s">
        <v>386</v>
      </c>
      <c r="B23" s="14" t="s">
        <v>274</v>
      </c>
      <c r="C23" s="13" t="s">
        <v>352</v>
      </c>
      <c r="D23" s="13" t="s">
        <v>341</v>
      </c>
      <c r="E23" s="13" t="s">
        <v>337</v>
      </c>
      <c r="F23" s="15">
        <v>1</v>
      </c>
      <c r="G23" s="16">
        <v>25000000</v>
      </c>
      <c r="H23" s="1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399999999999999" thickBot="1">
      <c r="A24" s="13" t="s">
        <v>386</v>
      </c>
      <c r="B24" s="14" t="s">
        <v>274</v>
      </c>
      <c r="C24" s="13" t="s">
        <v>352</v>
      </c>
      <c r="D24" s="13" t="s">
        <v>341</v>
      </c>
      <c r="E24" s="13" t="s">
        <v>337</v>
      </c>
      <c r="F24" s="15">
        <v>1</v>
      </c>
      <c r="G24" s="16">
        <v>25000000</v>
      </c>
      <c r="H24" s="1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399999999999999" thickBot="1">
      <c r="A25" s="13" t="s">
        <v>387</v>
      </c>
      <c r="B25" s="14" t="s">
        <v>275</v>
      </c>
      <c r="C25" s="13" t="s">
        <v>356</v>
      </c>
      <c r="D25" s="13" t="s">
        <v>388</v>
      </c>
      <c r="E25" s="13" t="s">
        <v>342</v>
      </c>
      <c r="F25" s="15">
        <v>1</v>
      </c>
      <c r="G25" s="16">
        <v>1800000</v>
      </c>
      <c r="H25" s="1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399999999999999" thickBot="1">
      <c r="A26" s="13" t="s">
        <v>389</v>
      </c>
      <c r="B26" s="14" t="s">
        <v>276</v>
      </c>
      <c r="C26" s="13" t="s">
        <v>340</v>
      </c>
      <c r="D26" s="13" t="s">
        <v>341</v>
      </c>
      <c r="E26" s="13" t="s">
        <v>346</v>
      </c>
      <c r="F26" s="15">
        <v>1</v>
      </c>
      <c r="G26" s="16">
        <v>2200000</v>
      </c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399999999999999" thickBot="1">
      <c r="A27" s="13" t="s">
        <v>390</v>
      </c>
      <c r="B27" s="14" t="s">
        <v>277</v>
      </c>
      <c r="C27" s="13" t="s">
        <v>360</v>
      </c>
      <c r="D27" s="13" t="s">
        <v>345</v>
      </c>
      <c r="E27" s="13" t="s">
        <v>350</v>
      </c>
      <c r="F27" s="15">
        <v>1</v>
      </c>
      <c r="G27" s="16">
        <v>6500000</v>
      </c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399999999999999" thickBot="1">
      <c r="A28" s="13" t="s">
        <v>391</v>
      </c>
      <c r="B28" s="14" t="s">
        <v>277</v>
      </c>
      <c r="C28" s="13" t="s">
        <v>362</v>
      </c>
      <c r="D28" s="13" t="s">
        <v>501</v>
      </c>
      <c r="E28" s="13" t="s">
        <v>353</v>
      </c>
      <c r="F28" s="15">
        <v>4</v>
      </c>
      <c r="G28" s="16">
        <v>2500000</v>
      </c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200000000000003" thickBot="1">
      <c r="A29" s="13" t="s">
        <v>392</v>
      </c>
      <c r="B29" s="14" t="s">
        <v>278</v>
      </c>
      <c r="C29" s="13" t="s">
        <v>364</v>
      </c>
      <c r="D29" s="13" t="s">
        <v>341</v>
      </c>
      <c r="E29" s="13" t="s">
        <v>357</v>
      </c>
      <c r="F29" s="15">
        <v>1</v>
      </c>
      <c r="G29" s="16">
        <v>7500000</v>
      </c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399999999999999" thickBot="1">
      <c r="A30" s="13" t="s">
        <v>393</v>
      </c>
      <c r="B30" s="14">
        <v>44958</v>
      </c>
      <c r="C30" s="13" t="s">
        <v>374</v>
      </c>
      <c r="D30" s="13" t="s">
        <v>336</v>
      </c>
      <c r="E30" s="13" t="s">
        <v>394</v>
      </c>
      <c r="F30" s="15">
        <v>2</v>
      </c>
      <c r="G30" s="16">
        <v>2100000</v>
      </c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399999999999999" thickBot="1">
      <c r="A31" s="13" t="s">
        <v>395</v>
      </c>
      <c r="B31" s="14">
        <v>44959</v>
      </c>
      <c r="C31" s="13" t="s">
        <v>340</v>
      </c>
      <c r="D31" s="13" t="s">
        <v>341</v>
      </c>
      <c r="E31" s="13" t="s">
        <v>396</v>
      </c>
      <c r="F31" s="15">
        <v>3</v>
      </c>
      <c r="G31" s="16">
        <v>450</v>
      </c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399999999999999" thickBot="1">
      <c r="A32" s="13" t="s">
        <v>397</v>
      </c>
      <c r="B32" s="14">
        <v>44959</v>
      </c>
      <c r="C32" s="13" t="s">
        <v>360</v>
      </c>
      <c r="D32" s="13" t="s">
        <v>345</v>
      </c>
      <c r="E32" s="13" t="s">
        <v>337</v>
      </c>
      <c r="F32" s="15">
        <v>1</v>
      </c>
      <c r="G32" s="16">
        <v>25000000</v>
      </c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200000000000003" thickBot="1">
      <c r="A33" s="13" t="s">
        <v>398</v>
      </c>
      <c r="B33" s="14">
        <v>44960</v>
      </c>
      <c r="C33" s="13" t="s">
        <v>362</v>
      </c>
      <c r="D33" s="13" t="s">
        <v>501</v>
      </c>
      <c r="E33" s="13" t="s">
        <v>342</v>
      </c>
      <c r="F33" s="15">
        <v>1</v>
      </c>
      <c r="G33" s="16">
        <v>1800000</v>
      </c>
      <c r="H33" s="13" t="s">
        <v>354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7.399999999999999" thickBot="1">
      <c r="A34" s="13" t="s">
        <v>399</v>
      </c>
      <c r="B34" s="14">
        <v>44961</v>
      </c>
      <c r="C34" s="13" t="s">
        <v>352</v>
      </c>
      <c r="D34" s="13" t="s">
        <v>341</v>
      </c>
      <c r="E34" s="13" t="s">
        <v>346</v>
      </c>
      <c r="F34" s="15">
        <v>1</v>
      </c>
      <c r="G34" s="16">
        <v>2200000</v>
      </c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7.399999999999999" thickBot="1">
      <c r="A35" s="13" t="s">
        <v>400</v>
      </c>
      <c r="B35" s="14">
        <v>44962</v>
      </c>
      <c r="C35" s="13" t="s">
        <v>335</v>
      </c>
      <c r="D35" s="13" t="s">
        <v>336</v>
      </c>
      <c r="E35" s="13" t="s">
        <v>401</v>
      </c>
      <c r="F35" s="15">
        <v>1</v>
      </c>
      <c r="G35" s="16">
        <v>6500000</v>
      </c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7.399999999999999" thickBot="1">
      <c r="A36" s="13" t="s">
        <v>402</v>
      </c>
      <c r="B36" s="14">
        <v>44962</v>
      </c>
      <c r="C36" s="13" t="s">
        <v>340</v>
      </c>
      <c r="D36" s="13" t="s">
        <v>341</v>
      </c>
      <c r="E36" s="13" t="s">
        <v>353</v>
      </c>
      <c r="F36" s="15">
        <v>2</v>
      </c>
      <c r="G36" s="16">
        <v>2500000</v>
      </c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200000000000003" thickBot="1">
      <c r="A37" s="13" t="s">
        <v>403</v>
      </c>
      <c r="B37" s="14">
        <v>44963</v>
      </c>
      <c r="C37" s="13" t="s">
        <v>344</v>
      </c>
      <c r="D37" s="13" t="s">
        <v>345</v>
      </c>
      <c r="E37" s="13" t="s">
        <v>357</v>
      </c>
      <c r="F37" s="15">
        <v>1</v>
      </c>
      <c r="G37" s="16">
        <v>7500000</v>
      </c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7.399999999999999" thickBot="1">
      <c r="A38" s="13" t="s">
        <v>404</v>
      </c>
      <c r="B38" s="14">
        <v>44964</v>
      </c>
      <c r="C38" s="13" t="s">
        <v>349</v>
      </c>
      <c r="D38" s="13" t="s">
        <v>501</v>
      </c>
      <c r="E38" s="13" t="s">
        <v>394</v>
      </c>
      <c r="F38" s="15">
        <v>1</v>
      </c>
      <c r="G38" s="16">
        <v>2100000</v>
      </c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7.399999999999999" thickBot="1">
      <c r="A39" s="13" t="s">
        <v>405</v>
      </c>
      <c r="B39" s="14">
        <v>44965</v>
      </c>
      <c r="C39" s="13" t="s">
        <v>352</v>
      </c>
      <c r="D39" s="13" t="s">
        <v>341</v>
      </c>
      <c r="E39" s="13" t="s">
        <v>406</v>
      </c>
      <c r="F39" s="15">
        <v>5</v>
      </c>
      <c r="G39" s="16">
        <v>450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7.399999999999999" thickBot="1">
      <c r="A40" s="13" t="s">
        <v>407</v>
      </c>
      <c r="B40" s="14">
        <v>44965</v>
      </c>
      <c r="C40" s="13" t="s">
        <v>356</v>
      </c>
      <c r="D40" s="13" t="s">
        <v>336</v>
      </c>
      <c r="E40" s="13" t="s">
        <v>337</v>
      </c>
      <c r="F40" s="15">
        <v>1</v>
      </c>
      <c r="G40" s="16">
        <v>25000000</v>
      </c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7.399999999999999" thickBot="1">
      <c r="A41" s="13" t="s">
        <v>408</v>
      </c>
      <c r="B41" s="14">
        <v>44966</v>
      </c>
      <c r="C41" s="13" t="s">
        <v>340</v>
      </c>
      <c r="D41" s="13" t="s">
        <v>341</v>
      </c>
      <c r="E41" s="13" t="s">
        <v>342</v>
      </c>
      <c r="F41" s="15">
        <v>1</v>
      </c>
      <c r="G41" s="16">
        <v>1800000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200000000000003" thickBot="1">
      <c r="A42" s="13" t="s">
        <v>410</v>
      </c>
      <c r="B42" s="14">
        <v>44969</v>
      </c>
      <c r="C42" s="13" t="s">
        <v>374</v>
      </c>
      <c r="D42" s="13" t="s">
        <v>336</v>
      </c>
      <c r="E42" s="13" t="s">
        <v>357</v>
      </c>
      <c r="F42" s="15">
        <v>1</v>
      </c>
      <c r="G42" s="16">
        <v>7500000</v>
      </c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7.399999999999999" thickBot="1">
      <c r="A43" s="13" t="s">
        <v>411</v>
      </c>
      <c r="B43" s="14" t="s">
        <v>279</v>
      </c>
      <c r="C43" s="13" t="s">
        <v>376</v>
      </c>
      <c r="D43" s="13" t="s">
        <v>341</v>
      </c>
      <c r="E43" s="13" t="s">
        <v>394</v>
      </c>
      <c r="F43" s="15">
        <v>3</v>
      </c>
      <c r="G43" s="16">
        <v>2100000</v>
      </c>
      <c r="H43" s="13" t="s">
        <v>338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7.399999999999999" thickBot="1">
      <c r="A44" s="13" t="s">
        <v>412</v>
      </c>
      <c r="B44" s="14" t="s">
        <v>280</v>
      </c>
      <c r="C44" s="13" t="s">
        <v>360</v>
      </c>
      <c r="D44" s="13" t="s">
        <v>345</v>
      </c>
      <c r="E44" s="13" t="s">
        <v>396</v>
      </c>
      <c r="F44" s="15">
        <v>2</v>
      </c>
      <c r="G44" s="16">
        <v>450</v>
      </c>
      <c r="H44" s="1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7.399999999999999" thickBot="1">
      <c r="A45" s="13" t="s">
        <v>413</v>
      </c>
      <c r="B45" s="14" t="s">
        <v>281</v>
      </c>
      <c r="C45" s="13" t="s">
        <v>362</v>
      </c>
      <c r="D45" s="13" t="s">
        <v>501</v>
      </c>
      <c r="E45" s="13" t="s">
        <v>379</v>
      </c>
      <c r="F45" s="15">
        <v>1</v>
      </c>
      <c r="G45" s="16">
        <v>2100000</v>
      </c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7.399999999999999" thickBot="1">
      <c r="A46" s="13" t="s">
        <v>414</v>
      </c>
      <c r="B46" s="14" t="s">
        <v>281</v>
      </c>
      <c r="C46" s="13" t="s">
        <v>352</v>
      </c>
      <c r="D46" s="13" t="s">
        <v>341</v>
      </c>
      <c r="E46" s="13" t="s">
        <v>342</v>
      </c>
      <c r="F46" s="15">
        <v>1</v>
      </c>
      <c r="G46" s="16">
        <v>1800000</v>
      </c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7.399999999999999" thickBot="1">
      <c r="A47" s="13" t="s">
        <v>415</v>
      </c>
      <c r="B47" s="14" t="s">
        <v>282</v>
      </c>
      <c r="C47" s="13" t="s">
        <v>335</v>
      </c>
      <c r="D47" s="13" t="s">
        <v>336</v>
      </c>
      <c r="E47" s="13" t="s">
        <v>346</v>
      </c>
      <c r="F47" s="15">
        <v>1</v>
      </c>
      <c r="G47" s="16">
        <v>2200000</v>
      </c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7.399999999999999" thickBot="1">
      <c r="A48" s="13" t="s">
        <v>417</v>
      </c>
      <c r="B48" s="14" t="s">
        <v>284</v>
      </c>
      <c r="C48" s="13" t="s">
        <v>344</v>
      </c>
      <c r="D48" s="13" t="s">
        <v>345</v>
      </c>
      <c r="E48" s="13" t="s">
        <v>418</v>
      </c>
      <c r="F48" s="15">
        <v>1</v>
      </c>
      <c r="G48" s="16">
        <v>2500000</v>
      </c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200000000000003" thickBot="1">
      <c r="A49" s="13" t="s">
        <v>419</v>
      </c>
      <c r="B49" s="14" t="s">
        <v>284</v>
      </c>
      <c r="C49" s="13" t="s">
        <v>349</v>
      </c>
      <c r="D49" s="13" t="s">
        <v>501</v>
      </c>
      <c r="E49" s="13" t="s">
        <v>357</v>
      </c>
      <c r="F49" s="15">
        <v>2</v>
      </c>
      <c r="G49" s="16">
        <v>7500000</v>
      </c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7.399999999999999" thickBot="1">
      <c r="A50" s="13" t="s">
        <v>420</v>
      </c>
      <c r="B50" s="14" t="s">
        <v>285</v>
      </c>
      <c r="C50" s="13" t="s">
        <v>352</v>
      </c>
      <c r="D50" s="13" t="s">
        <v>341</v>
      </c>
      <c r="E50" s="13" t="s">
        <v>394</v>
      </c>
      <c r="F50" s="15">
        <v>1</v>
      </c>
      <c r="G50" s="16">
        <v>2100000</v>
      </c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7.399999999999999" thickBot="1">
      <c r="A51" s="13" t="s">
        <v>421</v>
      </c>
      <c r="B51" s="14" t="s">
        <v>286</v>
      </c>
      <c r="C51" s="13" t="s">
        <v>356</v>
      </c>
      <c r="D51" s="13" t="s">
        <v>336</v>
      </c>
      <c r="E51" s="13" t="s">
        <v>396</v>
      </c>
      <c r="F51" s="15">
        <v>4</v>
      </c>
      <c r="G51" s="16">
        <v>450</v>
      </c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7.399999999999999" thickBot="1">
      <c r="A52" s="13" t="s">
        <v>422</v>
      </c>
      <c r="B52" s="14" t="s">
        <v>287</v>
      </c>
      <c r="C52" s="13" t="s">
        <v>340</v>
      </c>
      <c r="D52" s="13" t="s">
        <v>341</v>
      </c>
      <c r="E52" s="13" t="s">
        <v>337</v>
      </c>
      <c r="F52" s="15">
        <v>1</v>
      </c>
      <c r="G52" s="16">
        <v>450</v>
      </c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7.399999999999999" thickBot="1">
      <c r="A53" s="13" t="s">
        <v>423</v>
      </c>
      <c r="B53" s="14" t="s">
        <v>288</v>
      </c>
      <c r="C53" s="13" t="s">
        <v>360</v>
      </c>
      <c r="D53" s="13" t="s">
        <v>345</v>
      </c>
      <c r="E53" s="13" t="s">
        <v>342</v>
      </c>
      <c r="F53" s="15">
        <v>1</v>
      </c>
      <c r="G53" s="16">
        <v>1800000</v>
      </c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7.399999999999999" thickBot="1">
      <c r="A54" s="13" t="s">
        <v>424</v>
      </c>
      <c r="B54" s="14" t="s">
        <v>289</v>
      </c>
      <c r="C54" s="13" t="s">
        <v>362</v>
      </c>
      <c r="D54" s="13" t="s">
        <v>501</v>
      </c>
      <c r="E54" s="13" t="s">
        <v>346</v>
      </c>
      <c r="F54" s="15">
        <v>1</v>
      </c>
      <c r="G54" s="16">
        <v>2200000</v>
      </c>
      <c r="H54" s="1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200000000000003" thickBot="1">
      <c r="A55" s="13" t="s">
        <v>425</v>
      </c>
      <c r="B55" s="14" t="s">
        <v>289</v>
      </c>
      <c r="C55" s="13" t="s">
        <v>364</v>
      </c>
      <c r="D55" s="13" t="s">
        <v>341</v>
      </c>
      <c r="E55" s="13" t="s">
        <v>350</v>
      </c>
      <c r="F55" s="15">
        <v>2</v>
      </c>
      <c r="G55" s="16">
        <v>6500000</v>
      </c>
      <c r="H55" s="13" t="s">
        <v>354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7.399999999999999" thickBot="1">
      <c r="A56" s="13" t="s">
        <v>426</v>
      </c>
      <c r="B56" s="14" t="s">
        <v>290</v>
      </c>
      <c r="C56" s="13" t="s">
        <v>374</v>
      </c>
      <c r="D56" s="13" t="s">
        <v>336</v>
      </c>
      <c r="E56" s="13" t="s">
        <v>353</v>
      </c>
      <c r="F56" s="15">
        <v>1</v>
      </c>
      <c r="G56" s="16">
        <v>2500000</v>
      </c>
      <c r="H56" s="1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7.399999999999999" thickBot="1">
      <c r="A57" s="13" t="s">
        <v>427</v>
      </c>
      <c r="B57" s="14" t="s">
        <v>291</v>
      </c>
      <c r="C57" s="13" t="s">
        <v>340</v>
      </c>
      <c r="D57" s="13" t="s">
        <v>341</v>
      </c>
      <c r="E57" s="13" t="s">
        <v>428</v>
      </c>
      <c r="F57" s="15">
        <v>1</v>
      </c>
      <c r="G57" s="16">
        <v>7500000</v>
      </c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7.399999999999999" thickBot="1">
      <c r="A58" s="13" t="s">
        <v>429</v>
      </c>
      <c r="B58" s="14" t="s">
        <v>292</v>
      </c>
      <c r="C58" s="13" t="s">
        <v>360</v>
      </c>
      <c r="D58" s="13" t="s">
        <v>345</v>
      </c>
      <c r="E58" s="13" t="s">
        <v>394</v>
      </c>
      <c r="F58" s="15">
        <v>1</v>
      </c>
      <c r="G58" s="16">
        <v>2100000</v>
      </c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7.399999999999999" thickBot="1">
      <c r="A59" s="13" t="s">
        <v>430</v>
      </c>
      <c r="B59" s="14" t="s">
        <v>293</v>
      </c>
      <c r="C59" s="13" t="s">
        <v>362</v>
      </c>
      <c r="D59" s="13" t="s">
        <v>501</v>
      </c>
      <c r="E59" s="13" t="s">
        <v>396</v>
      </c>
      <c r="F59" s="15">
        <v>2</v>
      </c>
      <c r="G59" s="16">
        <v>450</v>
      </c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7.399999999999999" thickBot="1">
      <c r="A60" s="13" t="s">
        <v>431</v>
      </c>
      <c r="B60" s="14" t="s">
        <v>294</v>
      </c>
      <c r="C60" s="13" t="s">
        <v>352</v>
      </c>
      <c r="D60" s="13" t="s">
        <v>341</v>
      </c>
      <c r="E60" s="13" t="s">
        <v>337</v>
      </c>
      <c r="F60" s="15">
        <v>1</v>
      </c>
      <c r="G60" s="16">
        <v>25000000</v>
      </c>
      <c r="H60" s="1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7.399999999999999" thickBot="1">
      <c r="A61" s="13" t="s">
        <v>432</v>
      </c>
      <c r="B61" s="14">
        <v>44986</v>
      </c>
      <c r="C61" s="13" t="s">
        <v>335</v>
      </c>
      <c r="D61" s="13" t="s">
        <v>388</v>
      </c>
      <c r="E61" s="13" t="s">
        <v>342</v>
      </c>
      <c r="F61" s="15">
        <v>2</v>
      </c>
      <c r="G61" s="16">
        <v>1800000</v>
      </c>
      <c r="H61" s="13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7.399999999999999" thickBot="1">
      <c r="A62" s="13" t="s">
        <v>433</v>
      </c>
      <c r="B62" s="14">
        <v>44987</v>
      </c>
      <c r="C62" s="13" t="s">
        <v>340</v>
      </c>
      <c r="D62" s="13" t="s">
        <v>341</v>
      </c>
      <c r="E62" s="13" t="s">
        <v>346</v>
      </c>
      <c r="F62" s="15">
        <v>1</v>
      </c>
      <c r="G62" s="16">
        <v>2200000</v>
      </c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7.399999999999999" thickBot="1">
      <c r="A63" s="13" t="s">
        <v>434</v>
      </c>
      <c r="B63" s="14">
        <v>44987</v>
      </c>
      <c r="C63" s="13" t="s">
        <v>344</v>
      </c>
      <c r="D63" s="13" t="s">
        <v>345</v>
      </c>
      <c r="E63" s="13" t="s">
        <v>350</v>
      </c>
      <c r="F63" s="15">
        <v>1</v>
      </c>
      <c r="G63" s="16">
        <v>6500000</v>
      </c>
      <c r="H63" s="13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7.399999999999999" thickBot="1">
      <c r="A64" s="13" t="s">
        <v>435</v>
      </c>
      <c r="B64" s="14">
        <v>44988</v>
      </c>
      <c r="C64" s="13" t="s">
        <v>349</v>
      </c>
      <c r="D64" s="13" t="s">
        <v>501</v>
      </c>
      <c r="E64" s="13" t="s">
        <v>353</v>
      </c>
      <c r="F64" s="15">
        <v>3</v>
      </c>
      <c r="G64" s="16">
        <v>2500000</v>
      </c>
      <c r="H64" s="13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200000000000003" thickBot="1">
      <c r="A65" s="13" t="s">
        <v>436</v>
      </c>
      <c r="B65" s="14">
        <v>44989</v>
      </c>
      <c r="C65" s="13" t="s">
        <v>352</v>
      </c>
      <c r="D65" s="13" t="s">
        <v>341</v>
      </c>
      <c r="E65" s="13" t="s">
        <v>357</v>
      </c>
      <c r="F65" s="15">
        <v>1</v>
      </c>
      <c r="G65" s="16">
        <v>7500000</v>
      </c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7.399999999999999" thickBot="1">
      <c r="A66" s="13" t="s">
        <v>437</v>
      </c>
      <c r="B66" s="14">
        <v>44990</v>
      </c>
      <c r="C66" s="13" t="s">
        <v>356</v>
      </c>
      <c r="D66" s="13" t="s">
        <v>336</v>
      </c>
      <c r="E66" s="13" t="s">
        <v>394</v>
      </c>
      <c r="F66" s="15">
        <v>1</v>
      </c>
      <c r="G66" s="16">
        <v>2100000</v>
      </c>
      <c r="H66" s="13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7.399999999999999" thickBot="1">
      <c r="A67" s="13" t="s">
        <v>438</v>
      </c>
      <c r="B67" s="14">
        <v>44990</v>
      </c>
      <c r="C67" s="13" t="s">
        <v>340</v>
      </c>
      <c r="D67" s="13" t="s">
        <v>341</v>
      </c>
      <c r="E67" s="13" t="s">
        <v>396</v>
      </c>
      <c r="F67" s="15">
        <v>3</v>
      </c>
      <c r="G67" s="16">
        <v>450</v>
      </c>
      <c r="H67" s="1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7.399999999999999" thickBot="1">
      <c r="A68" s="13" t="s">
        <v>439</v>
      </c>
      <c r="B68" s="14">
        <v>44991</v>
      </c>
      <c r="C68" s="13" t="s">
        <v>360</v>
      </c>
      <c r="D68" s="13" t="s">
        <v>345</v>
      </c>
      <c r="E68" s="13" t="s">
        <v>379</v>
      </c>
      <c r="F68" s="15">
        <v>1</v>
      </c>
      <c r="G68" s="16">
        <v>25000000</v>
      </c>
      <c r="H68" s="13" t="s">
        <v>347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7.399999999999999" thickBot="1">
      <c r="A69" s="13" t="s">
        <v>441</v>
      </c>
      <c r="B69" s="14">
        <v>44993</v>
      </c>
      <c r="C69" s="13" t="s">
        <v>364</v>
      </c>
      <c r="D69" s="13" t="s">
        <v>341</v>
      </c>
      <c r="E69" s="13" t="s">
        <v>346</v>
      </c>
      <c r="F69" s="15">
        <v>2</v>
      </c>
      <c r="G69" s="16">
        <v>2200000</v>
      </c>
      <c r="H69" s="1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7.399999999999999" thickBot="1">
      <c r="A70" s="13" t="s">
        <v>442</v>
      </c>
      <c r="B70" s="14">
        <v>44993</v>
      </c>
      <c r="C70" s="13" t="s">
        <v>374</v>
      </c>
      <c r="D70" s="13" t="s">
        <v>336</v>
      </c>
      <c r="E70" s="13" t="s">
        <v>350</v>
      </c>
      <c r="F70" s="15">
        <v>1</v>
      </c>
      <c r="G70" s="16">
        <v>6500000</v>
      </c>
      <c r="H70" s="1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7.399999999999999" thickBot="1">
      <c r="A71" s="13" t="s">
        <v>443</v>
      </c>
      <c r="B71" s="14">
        <v>44994</v>
      </c>
      <c r="C71" s="13" t="s">
        <v>340</v>
      </c>
      <c r="D71" s="13" t="s">
        <v>341</v>
      </c>
      <c r="E71" s="13" t="s">
        <v>353</v>
      </c>
      <c r="F71" s="15">
        <v>1</v>
      </c>
      <c r="G71" s="16">
        <v>2500000</v>
      </c>
      <c r="H71" s="13" t="s">
        <v>372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200000000000003" thickBot="1">
      <c r="A72" s="13" t="s">
        <v>444</v>
      </c>
      <c r="B72" s="14">
        <v>44995</v>
      </c>
      <c r="C72" s="13" t="s">
        <v>360</v>
      </c>
      <c r="D72" s="13" t="s">
        <v>345</v>
      </c>
      <c r="E72" s="13" t="s">
        <v>357</v>
      </c>
      <c r="F72" s="15">
        <v>1</v>
      </c>
      <c r="G72" s="16">
        <v>7500000</v>
      </c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7.399999999999999" thickBot="1">
      <c r="A73" s="13" t="s">
        <v>445</v>
      </c>
      <c r="B73" s="14">
        <v>44996</v>
      </c>
      <c r="C73" s="13" t="s">
        <v>362</v>
      </c>
      <c r="D73" s="13" t="s">
        <v>501</v>
      </c>
      <c r="E73" s="13" t="s">
        <v>394</v>
      </c>
      <c r="F73" s="15">
        <v>2</v>
      </c>
      <c r="G73" s="16">
        <v>2100000</v>
      </c>
      <c r="H73" s="1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7.399999999999999" thickBot="1">
      <c r="A74" s="13" t="s">
        <v>446</v>
      </c>
      <c r="B74" s="14">
        <v>44996</v>
      </c>
      <c r="C74" s="13" t="s">
        <v>352</v>
      </c>
      <c r="D74" s="13" t="s">
        <v>341</v>
      </c>
      <c r="E74" s="13" t="s">
        <v>379</v>
      </c>
      <c r="F74" s="15">
        <v>1</v>
      </c>
      <c r="G74" s="16">
        <v>7500000</v>
      </c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7.399999999999999" thickBot="1">
      <c r="A75" s="13" t="s">
        <v>447</v>
      </c>
      <c r="B75" s="14">
        <v>44997</v>
      </c>
      <c r="C75" s="13" t="s">
        <v>335</v>
      </c>
      <c r="D75" s="13" t="s">
        <v>336</v>
      </c>
      <c r="E75" s="13" t="s">
        <v>337</v>
      </c>
      <c r="F75" s="15">
        <v>1</v>
      </c>
      <c r="G75" s="16">
        <v>25000000</v>
      </c>
      <c r="H75" s="13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7.399999999999999" thickBot="1">
      <c r="A76" s="13" t="s">
        <v>448</v>
      </c>
      <c r="B76" s="14" t="s">
        <v>295</v>
      </c>
      <c r="C76" s="13" t="s">
        <v>376</v>
      </c>
      <c r="D76" s="13" t="s">
        <v>341</v>
      </c>
      <c r="E76" s="13" t="s">
        <v>370</v>
      </c>
      <c r="F76" s="15">
        <v>1</v>
      </c>
      <c r="G76" s="16">
        <v>1800000</v>
      </c>
      <c r="H76" s="1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7.399999999999999" thickBot="1">
      <c r="A77" s="13" t="s">
        <v>449</v>
      </c>
      <c r="B77" s="14" t="s">
        <v>296</v>
      </c>
      <c r="C77" s="13" t="s">
        <v>360</v>
      </c>
      <c r="D77" s="13" t="s">
        <v>345</v>
      </c>
      <c r="E77" s="13" t="s">
        <v>346</v>
      </c>
      <c r="F77" s="15">
        <v>1</v>
      </c>
      <c r="G77" s="16">
        <v>2200000</v>
      </c>
      <c r="H77" s="13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7.399999999999999" thickBot="1">
      <c r="A78" s="13" t="s">
        <v>450</v>
      </c>
      <c r="B78" s="14" t="s">
        <v>297</v>
      </c>
      <c r="C78" s="13" t="s">
        <v>362</v>
      </c>
      <c r="D78" s="13" t="s">
        <v>501</v>
      </c>
      <c r="E78" s="13" t="s">
        <v>350</v>
      </c>
      <c r="F78" s="15">
        <v>1</v>
      </c>
      <c r="G78" s="16">
        <v>6500000</v>
      </c>
      <c r="H78" s="13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200000000000003" thickBot="1">
      <c r="A79" s="13" t="s">
        <v>451</v>
      </c>
      <c r="B79" s="14" t="s">
        <v>297</v>
      </c>
      <c r="C79" s="13" t="s">
        <v>352</v>
      </c>
      <c r="D79" s="13" t="s">
        <v>341</v>
      </c>
      <c r="E79" s="13" t="s">
        <v>353</v>
      </c>
      <c r="F79" s="15">
        <v>5</v>
      </c>
      <c r="G79" s="16">
        <v>2500000</v>
      </c>
      <c r="H79" s="13" t="s">
        <v>354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200000000000003" thickBot="1">
      <c r="A80" s="13" t="s">
        <v>451</v>
      </c>
      <c r="B80" s="14" t="s">
        <v>297</v>
      </c>
      <c r="C80" s="13" t="s">
        <v>352</v>
      </c>
      <c r="D80" s="13" t="s">
        <v>341</v>
      </c>
      <c r="E80" s="13" t="s">
        <v>353</v>
      </c>
      <c r="F80" s="15">
        <v>5</v>
      </c>
      <c r="G80" s="16">
        <v>2500000</v>
      </c>
      <c r="H80" s="13" t="s">
        <v>354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200000000000003" thickBot="1">
      <c r="A81" s="13" t="s">
        <v>452</v>
      </c>
      <c r="B81" s="14" t="s">
        <v>298</v>
      </c>
      <c r="C81" s="13" t="s">
        <v>356</v>
      </c>
      <c r="D81" s="13" t="s">
        <v>336</v>
      </c>
      <c r="E81" s="13" t="s">
        <v>357</v>
      </c>
      <c r="F81" s="15">
        <v>1</v>
      </c>
      <c r="G81" s="16">
        <v>7500000</v>
      </c>
      <c r="H81" s="13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7.399999999999999" thickBot="1">
      <c r="A82" s="13" t="s">
        <v>453</v>
      </c>
      <c r="B82" s="14" t="s">
        <v>299</v>
      </c>
      <c r="C82" s="13" t="s">
        <v>340</v>
      </c>
      <c r="D82" s="13" t="s">
        <v>341</v>
      </c>
      <c r="E82" s="13" t="s">
        <v>394</v>
      </c>
      <c r="F82" s="15">
        <v>1</v>
      </c>
      <c r="G82" s="16">
        <v>2100000</v>
      </c>
      <c r="H82" s="13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7.399999999999999" thickBot="1">
      <c r="A83" s="13" t="s">
        <v>454</v>
      </c>
      <c r="B83" s="14" t="s">
        <v>300</v>
      </c>
      <c r="C83" s="13" t="s">
        <v>344</v>
      </c>
      <c r="D83" s="13" t="s">
        <v>345</v>
      </c>
      <c r="E83" s="13" t="s">
        <v>396</v>
      </c>
      <c r="F83" s="15">
        <v>2</v>
      </c>
      <c r="G83" s="16">
        <v>450</v>
      </c>
      <c r="H83" s="13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7.399999999999999" thickBot="1">
      <c r="A84" s="13" t="s">
        <v>455</v>
      </c>
      <c r="B84" s="14" t="s">
        <v>300</v>
      </c>
      <c r="C84" s="13" t="s">
        <v>349</v>
      </c>
      <c r="D84" s="13" t="s">
        <v>501</v>
      </c>
      <c r="E84" s="13" t="s">
        <v>337</v>
      </c>
      <c r="F84" s="15">
        <v>1</v>
      </c>
      <c r="G84" s="16">
        <v>25000000</v>
      </c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7.399999999999999" thickBot="1">
      <c r="A85" s="13" t="s">
        <v>456</v>
      </c>
      <c r="B85" s="14" t="s">
        <v>301</v>
      </c>
      <c r="C85" s="13" t="s">
        <v>352</v>
      </c>
      <c r="D85" s="13" t="s">
        <v>341</v>
      </c>
      <c r="E85" s="13" t="s">
        <v>342</v>
      </c>
      <c r="F85" s="15">
        <v>2</v>
      </c>
      <c r="G85" s="16">
        <v>1800000</v>
      </c>
      <c r="H85" s="13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7.399999999999999" thickBot="1">
      <c r="A86" s="13" t="s">
        <v>457</v>
      </c>
      <c r="B86" s="14" t="s">
        <v>302</v>
      </c>
      <c r="C86" s="13" t="s">
        <v>374</v>
      </c>
      <c r="D86" s="13" t="s">
        <v>336</v>
      </c>
      <c r="E86" s="13" t="s">
        <v>346</v>
      </c>
      <c r="F86" s="15">
        <v>1</v>
      </c>
      <c r="G86" s="16">
        <v>2200000</v>
      </c>
      <c r="H86" s="1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7.399999999999999" thickBot="1">
      <c r="A87" s="13" t="s">
        <v>458</v>
      </c>
      <c r="B87" s="14" t="s">
        <v>303</v>
      </c>
      <c r="C87" s="13" t="s">
        <v>340</v>
      </c>
      <c r="D87" s="13" t="s">
        <v>341</v>
      </c>
      <c r="E87" s="13" t="s">
        <v>350</v>
      </c>
      <c r="F87" s="15">
        <v>1</v>
      </c>
      <c r="G87" s="16">
        <v>6500000</v>
      </c>
      <c r="H87" s="13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7.399999999999999" thickBot="1">
      <c r="A88" s="13" t="s">
        <v>459</v>
      </c>
      <c r="B88" s="14" t="s">
        <v>304</v>
      </c>
      <c r="C88" s="13" t="s">
        <v>360</v>
      </c>
      <c r="D88" s="13" t="s">
        <v>345</v>
      </c>
      <c r="E88" s="13" t="s">
        <v>353</v>
      </c>
      <c r="F88" s="15">
        <v>1</v>
      </c>
      <c r="G88" s="16">
        <v>2500000</v>
      </c>
      <c r="H88" s="13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7.399999999999999" thickBot="1">
      <c r="A89" s="13" t="s">
        <v>460</v>
      </c>
      <c r="B89" s="14" t="s">
        <v>305</v>
      </c>
      <c r="C89" s="13" t="s">
        <v>362</v>
      </c>
      <c r="D89" s="13" t="s">
        <v>501</v>
      </c>
      <c r="E89" s="13" t="s">
        <v>428</v>
      </c>
      <c r="F89" s="15">
        <v>1</v>
      </c>
      <c r="G89" s="16">
        <v>7500000</v>
      </c>
      <c r="H89" s="13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7.399999999999999" thickBot="1">
      <c r="A90" s="13" t="s">
        <v>461</v>
      </c>
      <c r="B90" s="14" t="s">
        <v>305</v>
      </c>
      <c r="C90" s="13" t="s">
        <v>364</v>
      </c>
      <c r="D90" s="13" t="s">
        <v>341</v>
      </c>
      <c r="E90" s="13" t="s">
        <v>394</v>
      </c>
      <c r="F90" s="15">
        <v>3</v>
      </c>
      <c r="G90" s="16">
        <v>2100000</v>
      </c>
      <c r="H90" s="13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7.399999999999999" thickBot="1">
      <c r="A91" s="13" t="s">
        <v>462</v>
      </c>
      <c r="B91" s="14" t="s">
        <v>306</v>
      </c>
      <c r="C91" s="13" t="s">
        <v>335</v>
      </c>
      <c r="D91" s="13" t="s">
        <v>336</v>
      </c>
      <c r="E91" s="13" t="s">
        <v>396</v>
      </c>
      <c r="F91" s="15">
        <v>1</v>
      </c>
      <c r="G91" s="16">
        <v>450</v>
      </c>
      <c r="H91" s="1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7.399999999999999" thickBot="1">
      <c r="A92" s="13" t="s">
        <v>463</v>
      </c>
      <c r="B92" s="14" t="s">
        <v>307</v>
      </c>
      <c r="C92" s="13" t="s">
        <v>340</v>
      </c>
      <c r="D92" s="13" t="s">
        <v>341</v>
      </c>
      <c r="E92" s="13" t="s">
        <v>337</v>
      </c>
      <c r="F92" s="15">
        <v>1</v>
      </c>
      <c r="G92" s="16">
        <v>25000000</v>
      </c>
      <c r="H92" s="13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7.399999999999999" thickBot="1">
      <c r="A93" s="13" t="s">
        <v>464</v>
      </c>
      <c r="B93" s="14" t="s">
        <v>308</v>
      </c>
      <c r="C93" s="13" t="s">
        <v>344</v>
      </c>
      <c r="D93" s="13" t="s">
        <v>345</v>
      </c>
      <c r="E93" s="13" t="s">
        <v>342</v>
      </c>
      <c r="F93" s="15">
        <v>1</v>
      </c>
      <c r="G93" s="16">
        <v>1800000</v>
      </c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7.399999999999999" thickBot="1">
      <c r="A94" s="13" t="s">
        <v>465</v>
      </c>
      <c r="B94" s="14" t="s">
        <v>309</v>
      </c>
      <c r="C94" s="13" t="s">
        <v>349</v>
      </c>
      <c r="D94" s="13" t="s">
        <v>501</v>
      </c>
      <c r="E94" s="13" t="s">
        <v>346</v>
      </c>
      <c r="F94" s="15">
        <v>2</v>
      </c>
      <c r="G94" s="16">
        <v>2200000</v>
      </c>
      <c r="H94" s="13" t="s">
        <v>366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7.399999999999999" thickBot="1">
      <c r="A95" s="13" t="s">
        <v>466</v>
      </c>
      <c r="B95" s="14" t="s">
        <v>310</v>
      </c>
      <c r="C95" s="13" t="s">
        <v>352</v>
      </c>
      <c r="D95" s="13" t="s">
        <v>341</v>
      </c>
      <c r="E95" s="13" t="s">
        <v>350</v>
      </c>
      <c r="F95" s="15">
        <v>1</v>
      </c>
      <c r="G95" s="16">
        <v>6500000</v>
      </c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7.399999999999999" thickBot="1">
      <c r="A96" s="13" t="s">
        <v>467</v>
      </c>
      <c r="B96" s="14" t="s">
        <v>311</v>
      </c>
      <c r="C96" s="13" t="s">
        <v>356</v>
      </c>
      <c r="D96" s="13" t="s">
        <v>336</v>
      </c>
      <c r="E96" s="13" t="s">
        <v>353</v>
      </c>
      <c r="F96" s="15">
        <v>1</v>
      </c>
      <c r="G96" s="16">
        <v>2500000</v>
      </c>
      <c r="H96" s="13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200000000000003" thickBot="1">
      <c r="A97" s="13" t="s">
        <v>468</v>
      </c>
      <c r="B97" s="14" t="s">
        <v>312</v>
      </c>
      <c r="C97" s="13" t="s">
        <v>340</v>
      </c>
      <c r="D97" s="13" t="s">
        <v>341</v>
      </c>
      <c r="E97" s="13" t="s">
        <v>357</v>
      </c>
      <c r="F97" s="15">
        <v>1</v>
      </c>
      <c r="G97" s="16">
        <v>7500000</v>
      </c>
      <c r="H97" s="13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7.399999999999999" thickBot="1">
      <c r="A98" s="13" t="s">
        <v>469</v>
      </c>
      <c r="B98" s="14" t="s">
        <v>313</v>
      </c>
      <c r="C98" s="13" t="s">
        <v>360</v>
      </c>
      <c r="D98" s="13" t="s">
        <v>345</v>
      </c>
      <c r="E98" s="13" t="s">
        <v>394</v>
      </c>
      <c r="F98" s="15">
        <v>1</v>
      </c>
      <c r="G98" s="16">
        <v>2100000</v>
      </c>
      <c r="H98" s="13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7.399999999999999" thickBot="1">
      <c r="A99" s="13" t="s">
        <v>470</v>
      </c>
      <c r="B99" s="14">
        <v>44934</v>
      </c>
      <c r="C99" s="13" t="s">
        <v>362</v>
      </c>
      <c r="D99" s="13" t="s">
        <v>501</v>
      </c>
      <c r="E99" s="13" t="s">
        <v>396</v>
      </c>
      <c r="F99" s="15">
        <v>4</v>
      </c>
      <c r="G99" s="16">
        <v>450</v>
      </c>
      <c r="H99" s="13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7.399999999999999" thickBot="1">
      <c r="A100" s="13" t="s">
        <v>471</v>
      </c>
      <c r="B100" s="14">
        <v>44965</v>
      </c>
      <c r="C100" s="13" t="s">
        <v>364</v>
      </c>
      <c r="D100" s="13" t="s">
        <v>341</v>
      </c>
      <c r="E100" s="13" t="s">
        <v>337</v>
      </c>
      <c r="F100" s="15">
        <v>1</v>
      </c>
      <c r="G100" s="16">
        <v>25000000</v>
      </c>
      <c r="H100" s="1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7.399999999999999" thickBot="1">
      <c r="A101" s="13" t="s">
        <v>472</v>
      </c>
      <c r="B101" s="14">
        <v>44993</v>
      </c>
      <c r="C101" s="13" t="s">
        <v>374</v>
      </c>
      <c r="D101" s="13" t="s">
        <v>388</v>
      </c>
      <c r="E101" s="13" t="s">
        <v>342</v>
      </c>
      <c r="F101" s="15">
        <v>1</v>
      </c>
      <c r="G101" s="16">
        <v>1800000</v>
      </c>
      <c r="H101" s="13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7.399999999999999" thickBot="1">
      <c r="A102" s="13" t="s">
        <v>473</v>
      </c>
      <c r="B102" s="14">
        <v>45024</v>
      </c>
      <c r="C102" s="13" t="s">
        <v>340</v>
      </c>
      <c r="D102" s="13" t="s">
        <v>341</v>
      </c>
      <c r="E102" s="13" t="s">
        <v>346</v>
      </c>
      <c r="F102" s="15">
        <v>1</v>
      </c>
      <c r="G102" s="16">
        <v>2200000</v>
      </c>
      <c r="H102" s="13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200000000000003" thickBot="1">
      <c r="A103" s="13" t="s">
        <v>474</v>
      </c>
      <c r="B103" s="14">
        <v>45025</v>
      </c>
      <c r="C103" s="13" t="s">
        <v>360</v>
      </c>
      <c r="D103" s="13" t="s">
        <v>345</v>
      </c>
      <c r="E103" s="13" t="s">
        <v>401</v>
      </c>
      <c r="F103" s="15">
        <v>2</v>
      </c>
      <c r="G103" s="16">
        <v>6500000</v>
      </c>
      <c r="H103" s="13" t="s">
        <v>354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7.399999999999999" thickBot="1">
      <c r="A104" s="13" t="s">
        <v>475</v>
      </c>
      <c r="B104" s="14">
        <v>45026</v>
      </c>
      <c r="C104" s="13" t="s">
        <v>362</v>
      </c>
      <c r="D104" s="13" t="s">
        <v>501</v>
      </c>
      <c r="E104" s="13" t="s">
        <v>353</v>
      </c>
      <c r="F104" s="15">
        <v>2</v>
      </c>
      <c r="G104" s="16">
        <v>2500000</v>
      </c>
      <c r="H104" s="13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200000000000003" thickBot="1">
      <c r="A105" s="13" t="s">
        <v>476</v>
      </c>
      <c r="B105" s="14">
        <v>45027</v>
      </c>
      <c r="C105" s="13" t="s">
        <v>352</v>
      </c>
      <c r="D105" s="13" t="s">
        <v>341</v>
      </c>
      <c r="E105" s="13" t="s">
        <v>357</v>
      </c>
      <c r="F105" s="15">
        <v>1</v>
      </c>
      <c r="G105" s="16">
        <v>7500000</v>
      </c>
      <c r="H105" s="13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7.399999999999999" thickBot="1">
      <c r="A106" s="13" t="s">
        <v>477</v>
      </c>
      <c r="B106" s="14">
        <v>45027</v>
      </c>
      <c r="C106" s="13" t="s">
        <v>335</v>
      </c>
      <c r="D106" s="13" t="s">
        <v>336</v>
      </c>
      <c r="E106" s="13" t="s">
        <v>394</v>
      </c>
      <c r="F106" s="15">
        <v>1</v>
      </c>
      <c r="G106" s="16">
        <v>2100000</v>
      </c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7.399999999999999" thickBot="1">
      <c r="A107" s="13" t="s">
        <v>478</v>
      </c>
      <c r="B107" s="14">
        <v>45028</v>
      </c>
      <c r="C107" s="13" t="s">
        <v>376</v>
      </c>
      <c r="D107" s="13" t="s">
        <v>341</v>
      </c>
      <c r="E107" s="13" t="s">
        <v>401</v>
      </c>
      <c r="F107" s="15">
        <v>1</v>
      </c>
      <c r="G107" s="16">
        <v>25000000</v>
      </c>
      <c r="H107" s="1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7.399999999999999" thickBot="1">
      <c r="A108" s="13" t="s">
        <v>479</v>
      </c>
      <c r="B108" s="14" t="s">
        <v>314</v>
      </c>
      <c r="C108" s="13" t="s">
        <v>360</v>
      </c>
      <c r="D108" s="13" t="s">
        <v>345</v>
      </c>
      <c r="E108" s="13" t="s">
        <v>337</v>
      </c>
      <c r="F108" s="15">
        <v>1</v>
      </c>
      <c r="G108" s="16">
        <v>25000000</v>
      </c>
      <c r="H108" s="1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7.399999999999999" thickBot="1">
      <c r="A109" s="13" t="s">
        <v>481</v>
      </c>
      <c r="B109" s="14" t="s">
        <v>316</v>
      </c>
      <c r="C109" s="13" t="s">
        <v>352</v>
      </c>
      <c r="D109" s="13" t="s">
        <v>341</v>
      </c>
      <c r="E109" s="13" t="s">
        <v>482</v>
      </c>
      <c r="F109" s="15">
        <v>1</v>
      </c>
      <c r="G109" s="16">
        <v>2200000</v>
      </c>
      <c r="H109" s="13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7.399999999999999" thickBot="1">
      <c r="A110" s="13" t="s">
        <v>483</v>
      </c>
      <c r="B110" s="14" t="s">
        <v>316</v>
      </c>
      <c r="C110" s="13" t="s">
        <v>356</v>
      </c>
      <c r="D110" s="13" t="s">
        <v>336</v>
      </c>
      <c r="E110" s="13" t="s">
        <v>350</v>
      </c>
      <c r="F110" s="15">
        <v>1</v>
      </c>
      <c r="G110" s="16">
        <v>6500000</v>
      </c>
      <c r="H110" s="1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7.399999999999999" thickBot="1">
      <c r="A111" s="13" t="s">
        <v>484</v>
      </c>
      <c r="B111" s="14" t="s">
        <v>317</v>
      </c>
      <c r="C111" s="13" t="s">
        <v>340</v>
      </c>
      <c r="D111" s="13" t="s">
        <v>341</v>
      </c>
      <c r="E111" s="13" t="s">
        <v>353</v>
      </c>
      <c r="F111" s="15">
        <v>1</v>
      </c>
      <c r="G111" s="16">
        <v>2500000</v>
      </c>
      <c r="H111" s="1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200000000000003" thickBot="1">
      <c r="A112" s="13" t="s">
        <v>485</v>
      </c>
      <c r="B112" s="14" t="s">
        <v>318</v>
      </c>
      <c r="C112" s="13" t="s">
        <v>344</v>
      </c>
      <c r="D112" s="13" t="s">
        <v>345</v>
      </c>
      <c r="E112" s="13" t="s">
        <v>357</v>
      </c>
      <c r="F112" s="15">
        <v>1</v>
      </c>
      <c r="G112" s="16">
        <v>7500000</v>
      </c>
      <c r="H112" s="13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7.399999999999999" thickBot="1">
      <c r="A113" s="13" t="s">
        <v>486</v>
      </c>
      <c r="B113" s="14" t="s">
        <v>319</v>
      </c>
      <c r="C113" s="13" t="s">
        <v>349</v>
      </c>
      <c r="D113" s="13" t="s">
        <v>501</v>
      </c>
      <c r="E113" s="13" t="s">
        <v>394</v>
      </c>
      <c r="F113" s="15">
        <v>2</v>
      </c>
      <c r="G113" s="16">
        <v>2100000</v>
      </c>
      <c r="H113" s="13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7.399999999999999" thickBot="1">
      <c r="A114" s="13" t="s">
        <v>488</v>
      </c>
      <c r="B114" s="14" t="s">
        <v>320</v>
      </c>
      <c r="C114" s="13" t="s">
        <v>374</v>
      </c>
      <c r="D114" s="13" t="s">
        <v>336</v>
      </c>
      <c r="E114" s="13" t="s">
        <v>337</v>
      </c>
      <c r="F114" s="15">
        <v>1</v>
      </c>
      <c r="G114" s="16">
        <v>25000000</v>
      </c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7.399999999999999" thickBot="1">
      <c r="A115" s="13" t="s">
        <v>489</v>
      </c>
      <c r="B115" s="14" t="s">
        <v>321</v>
      </c>
      <c r="C115" s="13" t="s">
        <v>340</v>
      </c>
      <c r="D115" s="13" t="s">
        <v>341</v>
      </c>
      <c r="E115" s="13" t="s">
        <v>342</v>
      </c>
      <c r="F115" s="15">
        <v>1</v>
      </c>
      <c r="G115" s="16">
        <v>1800000</v>
      </c>
      <c r="H115" s="13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7.399999999999999" thickBot="1">
      <c r="A116" s="13" t="s">
        <v>490</v>
      </c>
      <c r="B116" s="14" t="s">
        <v>322</v>
      </c>
      <c r="C116" s="13" t="s">
        <v>360</v>
      </c>
      <c r="D116" s="13" t="s">
        <v>345</v>
      </c>
      <c r="E116" s="13" t="s">
        <v>346</v>
      </c>
      <c r="F116" s="15">
        <v>1</v>
      </c>
      <c r="G116" s="16">
        <v>2200000</v>
      </c>
      <c r="H116" s="13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7.399999999999999" thickBot="1">
      <c r="A117" s="13" t="s">
        <v>491</v>
      </c>
      <c r="B117" s="14" t="s">
        <v>323</v>
      </c>
      <c r="C117" s="13" t="s">
        <v>362</v>
      </c>
      <c r="D117" s="13" t="s">
        <v>501</v>
      </c>
      <c r="E117" s="13" t="s">
        <v>350</v>
      </c>
      <c r="F117" s="15">
        <v>1</v>
      </c>
      <c r="G117" s="16">
        <v>6500000</v>
      </c>
      <c r="H117" s="13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200000000000003" thickBot="1">
      <c r="A118" s="13" t="s">
        <v>493</v>
      </c>
      <c r="B118" s="14" t="s">
        <v>324</v>
      </c>
      <c r="C118" s="13" t="s">
        <v>335</v>
      </c>
      <c r="D118" s="13" t="s">
        <v>336</v>
      </c>
      <c r="E118" s="13" t="s">
        <v>357</v>
      </c>
      <c r="F118" s="15">
        <v>1</v>
      </c>
      <c r="G118" s="16">
        <v>7500000</v>
      </c>
      <c r="H118" s="13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7.399999999999999" thickBot="1">
      <c r="A119" s="13" t="s">
        <v>494</v>
      </c>
      <c r="B119" s="14" t="s">
        <v>325</v>
      </c>
      <c r="C119" s="13" t="s">
        <v>340</v>
      </c>
      <c r="D119" s="13" t="s">
        <v>341</v>
      </c>
      <c r="E119" s="13" t="s">
        <v>394</v>
      </c>
      <c r="F119" s="15">
        <v>1</v>
      </c>
      <c r="G119" s="16">
        <v>2100000</v>
      </c>
      <c r="H119" s="13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7.399999999999999" thickBot="1">
      <c r="A120" s="13" t="s">
        <v>495</v>
      </c>
      <c r="B120" s="14" t="s">
        <v>326</v>
      </c>
      <c r="C120" s="13" t="s">
        <v>360</v>
      </c>
      <c r="D120" s="13" t="s">
        <v>345</v>
      </c>
      <c r="E120" s="13" t="s">
        <v>406</v>
      </c>
      <c r="F120" s="15">
        <v>5</v>
      </c>
      <c r="G120" s="16">
        <v>450</v>
      </c>
      <c r="H120" s="13" t="s">
        <v>338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7.399999999999999" thickBot="1">
      <c r="A121" s="13" t="s">
        <v>496</v>
      </c>
      <c r="B121" s="14" t="s">
        <v>327</v>
      </c>
      <c r="C121" s="13" t="s">
        <v>362</v>
      </c>
      <c r="D121" s="13" t="s">
        <v>501</v>
      </c>
      <c r="E121" s="13" t="s">
        <v>337</v>
      </c>
      <c r="F121" s="15">
        <v>1</v>
      </c>
      <c r="G121" s="16">
        <v>25000000</v>
      </c>
      <c r="H121" s="13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7.399999999999999" thickBot="1">
      <c r="A122" s="13" t="s">
        <v>497</v>
      </c>
      <c r="B122" s="14" t="s">
        <v>328</v>
      </c>
      <c r="C122" s="13" t="s">
        <v>352</v>
      </c>
      <c r="D122" s="13" t="s">
        <v>341</v>
      </c>
      <c r="E122" s="13" t="s">
        <v>342</v>
      </c>
      <c r="F122" s="15">
        <v>1</v>
      </c>
      <c r="G122" s="16">
        <v>1800000</v>
      </c>
      <c r="H122" s="13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7.399999999999999" thickBot="1">
      <c r="A123" s="13" t="s">
        <v>498</v>
      </c>
      <c r="B123" s="14" t="s">
        <v>329</v>
      </c>
      <c r="C123" s="13" t="s">
        <v>356</v>
      </c>
      <c r="D123" s="13" t="s">
        <v>336</v>
      </c>
      <c r="E123" s="13" t="s">
        <v>346</v>
      </c>
      <c r="F123" s="15">
        <v>2</v>
      </c>
      <c r="G123" s="16">
        <v>2200000</v>
      </c>
      <c r="H123" s="1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7.399999999999999" thickBot="1">
      <c r="A124" s="13" t="s">
        <v>499</v>
      </c>
      <c r="B124" s="14" t="s">
        <v>330</v>
      </c>
      <c r="C124" s="13" t="s">
        <v>340</v>
      </c>
      <c r="D124" s="13" t="s">
        <v>341</v>
      </c>
      <c r="E124" s="13" t="s">
        <v>342</v>
      </c>
      <c r="F124" s="15">
        <v>1</v>
      </c>
      <c r="G124" s="16">
        <v>1800000</v>
      </c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7.399999999999999" thickBot="1">
      <c r="A125" s="13" t="s">
        <v>500</v>
      </c>
      <c r="B125" s="14" t="s">
        <v>331</v>
      </c>
      <c r="C125" s="13" t="s">
        <v>344</v>
      </c>
      <c r="D125" s="13" t="s">
        <v>345</v>
      </c>
      <c r="E125" s="13" t="s">
        <v>353</v>
      </c>
      <c r="F125" s="15">
        <v>1</v>
      </c>
      <c r="G125" s="16">
        <v>2500000</v>
      </c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7.399999999999999" thickBot="1">
      <c r="A126" s="13"/>
      <c r="B126" s="14"/>
      <c r="C126" s="13"/>
      <c r="D126" s="13"/>
      <c r="E126" s="13"/>
      <c r="F126" s="15"/>
      <c r="G126" s="16"/>
      <c r="H126" s="1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7.399999999999999" thickBot="1">
      <c r="A127" s="13"/>
      <c r="B127" s="14"/>
      <c r="C127" s="13"/>
      <c r="D127" s="13"/>
      <c r="E127" s="13"/>
      <c r="F127" s="15"/>
      <c r="G127" s="16"/>
      <c r="H127" s="13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7.399999999999999" thickBot="1">
      <c r="A128" s="13"/>
      <c r="B128" s="14"/>
      <c r="C128" s="13"/>
      <c r="D128" s="13"/>
      <c r="E128" s="13"/>
      <c r="F128" s="15"/>
      <c r="G128" s="16"/>
      <c r="H128" s="1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7.399999999999999" thickBot="1">
      <c r="A129" s="13"/>
      <c r="B129" s="14"/>
      <c r="C129" s="13"/>
      <c r="D129" s="13"/>
      <c r="E129" s="13"/>
      <c r="F129" s="15"/>
      <c r="G129" s="16"/>
      <c r="H129" s="13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7.399999999999999" thickBot="1">
      <c r="A130" s="13"/>
      <c r="B130" s="14"/>
      <c r="C130" s="13"/>
      <c r="D130" s="13"/>
      <c r="E130" s="13"/>
      <c r="F130" s="15"/>
      <c r="G130" s="16"/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7.399999999999999" thickBot="1">
      <c r="A131" s="13"/>
      <c r="B131" s="14"/>
      <c r="C131" s="13"/>
      <c r="D131" s="13"/>
      <c r="E131" s="13"/>
      <c r="F131" s="15"/>
      <c r="G131" s="16"/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7.399999999999999" thickBot="1">
      <c r="A132" s="13"/>
      <c r="B132" s="14"/>
      <c r="C132" s="13"/>
      <c r="D132" s="13"/>
      <c r="E132" s="13"/>
      <c r="F132" s="15"/>
      <c r="G132" s="16"/>
      <c r="H132" s="13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7.399999999999999" thickBot="1">
      <c r="A133" s="13"/>
      <c r="B133" s="14"/>
      <c r="C133" s="13"/>
      <c r="D133" s="13"/>
      <c r="E133" s="13"/>
      <c r="F133" s="15"/>
      <c r="G133" s="16"/>
      <c r="H133" s="13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7.399999999999999" thickBot="1">
      <c r="A134" s="13"/>
      <c r="B134" s="14"/>
      <c r="C134" s="13"/>
      <c r="D134" s="13"/>
      <c r="E134" s="13"/>
      <c r="F134" s="15"/>
      <c r="G134" s="16"/>
      <c r="H134" s="1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7.399999999999999" thickBot="1">
      <c r="A135" s="13"/>
      <c r="B135" s="14"/>
      <c r="C135" s="13"/>
      <c r="D135" s="13"/>
      <c r="E135" s="13"/>
      <c r="F135" s="15"/>
      <c r="G135" s="16"/>
      <c r="H135" s="13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7.399999999999999" thickBot="1">
      <c r="A136" s="13"/>
      <c r="B136" s="14"/>
      <c r="C136" s="13"/>
      <c r="D136" s="13"/>
      <c r="E136" s="13"/>
      <c r="F136" s="15"/>
      <c r="G136" s="16"/>
      <c r="H136" s="13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7.399999999999999" thickBot="1">
      <c r="A137" s="13"/>
      <c r="B137" s="14"/>
      <c r="C137" s="13"/>
      <c r="D137" s="13"/>
      <c r="E137" s="13"/>
      <c r="F137" s="15"/>
      <c r="G137" s="16"/>
      <c r="H137" s="13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7.399999999999999" thickBot="1">
      <c r="A138" s="13"/>
      <c r="B138" s="14"/>
      <c r="C138" s="13"/>
      <c r="D138" s="13"/>
      <c r="E138" s="13"/>
      <c r="F138" s="15"/>
      <c r="G138" s="16"/>
      <c r="H138" s="13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7.399999999999999" thickBot="1">
      <c r="A139" s="13"/>
      <c r="B139" s="14"/>
      <c r="C139" s="13"/>
      <c r="D139" s="13"/>
      <c r="E139" s="13"/>
      <c r="F139" s="15"/>
      <c r="G139" s="16"/>
      <c r="H139" s="1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7.399999999999999" thickBot="1">
      <c r="A140" s="13"/>
      <c r="B140" s="14"/>
      <c r="C140" s="13"/>
      <c r="D140" s="13"/>
      <c r="E140" s="13"/>
      <c r="F140" s="15"/>
      <c r="G140" s="16"/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7.399999999999999" thickBot="1">
      <c r="A141" s="13"/>
      <c r="B141" s="14"/>
      <c r="C141" s="13"/>
      <c r="D141" s="13"/>
      <c r="E141" s="13"/>
      <c r="F141" s="15"/>
      <c r="G141" s="16"/>
      <c r="H141" s="13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7.399999999999999" thickBot="1">
      <c r="A142" s="13"/>
      <c r="B142" s="14"/>
      <c r="C142" s="13"/>
      <c r="D142" s="13"/>
      <c r="E142" s="13"/>
      <c r="F142" s="15"/>
      <c r="G142" s="16"/>
      <c r="H142" s="13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7.399999999999999" thickBot="1">
      <c r="A143" s="13"/>
      <c r="B143" s="14"/>
      <c r="C143" s="13"/>
      <c r="D143" s="13"/>
      <c r="E143" s="13"/>
      <c r="F143" s="15"/>
      <c r="G143" s="16"/>
      <c r="H143" s="13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7.399999999999999" thickBot="1">
      <c r="A144" s="13"/>
      <c r="B144" s="14"/>
      <c r="C144" s="13"/>
      <c r="D144" s="13"/>
      <c r="E144" s="13"/>
      <c r="F144" s="15"/>
      <c r="G144" s="16"/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7.399999999999999" thickBot="1">
      <c r="A145" s="13"/>
      <c r="B145" s="14"/>
      <c r="C145" s="13"/>
      <c r="D145" s="13"/>
      <c r="E145" s="13"/>
      <c r="F145" s="15"/>
      <c r="G145" s="16"/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7.399999999999999" thickBot="1">
      <c r="A146" s="13"/>
      <c r="B146" s="14"/>
      <c r="C146" s="13"/>
      <c r="D146" s="13"/>
      <c r="E146" s="13"/>
      <c r="F146" s="15"/>
      <c r="G146" s="16"/>
      <c r="H146" s="1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7.399999999999999" thickBot="1">
      <c r="A147" s="13"/>
      <c r="B147" s="14"/>
      <c r="C147" s="13"/>
      <c r="D147" s="13"/>
      <c r="E147" s="13"/>
      <c r="F147" s="15"/>
      <c r="G147" s="16"/>
      <c r="H147" s="13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7.399999999999999" thickBot="1">
      <c r="A148" s="13"/>
      <c r="B148" s="14"/>
      <c r="C148" s="13"/>
      <c r="D148" s="13"/>
      <c r="E148" s="13"/>
      <c r="F148" s="15"/>
      <c r="G148" s="16"/>
      <c r="H148" s="13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7.399999999999999" thickBot="1">
      <c r="A149" s="13"/>
      <c r="B149" s="14"/>
      <c r="C149" s="13"/>
      <c r="D149" s="13"/>
      <c r="E149" s="13"/>
      <c r="F149" s="15"/>
      <c r="G149" s="16"/>
      <c r="H149" s="13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7.399999999999999" thickBot="1">
      <c r="A150" s="13"/>
      <c r="B150" s="14"/>
      <c r="C150" s="13"/>
      <c r="D150" s="13"/>
      <c r="E150" s="13"/>
      <c r="F150" s="15"/>
      <c r="G150" s="16"/>
      <c r="H150" s="13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7.399999999999999" thickBot="1">
      <c r="A151" s="13"/>
      <c r="B151" s="14"/>
      <c r="C151" s="13"/>
      <c r="D151" s="13"/>
      <c r="E151" s="13"/>
      <c r="F151" s="15"/>
      <c r="G151" s="16"/>
      <c r="H151" s="13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7.399999999999999" thickBot="1">
      <c r="A152" s="13"/>
      <c r="B152" s="14"/>
      <c r="C152" s="13"/>
      <c r="D152" s="13"/>
      <c r="E152" s="13"/>
      <c r="F152" s="15"/>
      <c r="G152" s="16"/>
      <c r="H152" s="1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7.399999999999999" thickBot="1">
      <c r="A153" s="13"/>
      <c r="B153" s="14"/>
      <c r="C153" s="13"/>
      <c r="D153" s="13"/>
      <c r="E153" s="13"/>
      <c r="F153" s="15"/>
      <c r="G153" s="16"/>
      <c r="H153" s="13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7.399999999999999" thickBot="1">
      <c r="A154" s="13"/>
      <c r="B154" s="14"/>
      <c r="C154" s="13"/>
      <c r="D154" s="13"/>
      <c r="E154" s="13"/>
      <c r="F154" s="15"/>
      <c r="G154" s="16"/>
      <c r="H154" s="13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7.399999999999999" thickBot="1">
      <c r="A155" s="13"/>
      <c r="B155" s="14"/>
      <c r="C155" s="13"/>
      <c r="D155" s="13"/>
      <c r="E155" s="13"/>
      <c r="F155" s="15"/>
      <c r="G155" s="16"/>
      <c r="H155" s="13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7.399999999999999" thickBot="1">
      <c r="A156" s="13"/>
      <c r="B156" s="14"/>
      <c r="C156" s="13"/>
      <c r="D156" s="13"/>
      <c r="E156" s="13"/>
      <c r="F156" s="15"/>
      <c r="G156" s="16"/>
      <c r="H156" s="13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7.399999999999999" thickBot="1">
      <c r="A157" s="13"/>
      <c r="B157" s="14"/>
      <c r="C157" s="13"/>
      <c r="D157" s="13"/>
      <c r="E157" s="13"/>
      <c r="F157" s="15"/>
      <c r="G157" s="16"/>
      <c r="H157" s="13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7.399999999999999" thickBot="1">
      <c r="A158" s="13"/>
      <c r="B158" s="14"/>
      <c r="C158" s="13"/>
      <c r="D158" s="13"/>
      <c r="E158" s="13"/>
      <c r="F158" s="15"/>
      <c r="G158" s="16"/>
      <c r="H158" s="13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7.399999999999999" thickBot="1">
      <c r="A159" s="13"/>
      <c r="B159" s="14"/>
      <c r="C159" s="13"/>
      <c r="D159" s="13"/>
      <c r="E159" s="13"/>
      <c r="F159" s="15"/>
      <c r="G159" s="16"/>
      <c r="H159" s="1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7.399999999999999" thickBot="1">
      <c r="A160" s="13"/>
      <c r="B160" s="14"/>
      <c r="C160" s="13"/>
      <c r="D160" s="13"/>
      <c r="E160" s="13"/>
      <c r="F160" s="15"/>
      <c r="G160" s="16"/>
      <c r="H160" s="1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7.399999999999999" thickBot="1">
      <c r="A161" s="13"/>
      <c r="B161" s="14"/>
      <c r="C161" s="13"/>
      <c r="D161" s="13"/>
      <c r="E161" s="13"/>
      <c r="F161" s="15"/>
      <c r="G161" s="16"/>
      <c r="H161" s="1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7.399999999999999" thickBot="1">
      <c r="A162" s="13"/>
      <c r="B162" s="14"/>
      <c r="C162" s="13"/>
      <c r="D162" s="13"/>
      <c r="E162" s="13"/>
      <c r="F162" s="15"/>
      <c r="G162" s="16"/>
      <c r="H162" s="1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7.399999999999999" thickBot="1">
      <c r="A163" s="13"/>
      <c r="B163" s="14"/>
      <c r="C163" s="13"/>
      <c r="D163" s="13"/>
      <c r="E163" s="13"/>
      <c r="F163" s="15"/>
      <c r="G163" s="16"/>
      <c r="H163" s="1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7.399999999999999" thickBot="1">
      <c r="A164" s="13"/>
      <c r="B164" s="14"/>
      <c r="C164" s="13"/>
      <c r="D164" s="13"/>
      <c r="E164" s="13"/>
      <c r="F164" s="15"/>
      <c r="G164" s="16"/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7.399999999999999" thickBot="1">
      <c r="A165" s="13"/>
      <c r="B165" s="14"/>
      <c r="C165" s="13"/>
      <c r="D165" s="13"/>
      <c r="E165" s="13"/>
      <c r="F165" s="15"/>
      <c r="G165" s="16"/>
      <c r="H165" s="13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7.399999999999999" thickBot="1">
      <c r="A166" s="13"/>
      <c r="B166" s="14"/>
      <c r="C166" s="13"/>
      <c r="D166" s="13"/>
      <c r="E166" s="13"/>
      <c r="F166" s="15"/>
      <c r="G166" s="16"/>
      <c r="H166" s="13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7.399999999999999" thickBot="1">
      <c r="A167" s="13"/>
      <c r="B167" s="14"/>
      <c r="C167" s="13"/>
      <c r="D167" s="13"/>
      <c r="E167" s="13"/>
      <c r="F167" s="15"/>
      <c r="G167" s="16"/>
      <c r="H167" s="13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7.399999999999999" thickBot="1">
      <c r="A168" s="13"/>
      <c r="B168" s="14"/>
      <c r="C168" s="13"/>
      <c r="D168" s="13"/>
      <c r="E168" s="13"/>
      <c r="F168" s="15"/>
      <c r="G168" s="16"/>
      <c r="H168" s="13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7.399999999999999" thickBot="1">
      <c r="A169" s="13"/>
      <c r="B169" s="14"/>
      <c r="C169" s="13"/>
      <c r="D169" s="13"/>
      <c r="E169" s="13"/>
      <c r="F169" s="15"/>
      <c r="G169" s="16"/>
      <c r="H169" s="13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7.399999999999999" thickBot="1">
      <c r="A170" s="13"/>
      <c r="B170" s="14"/>
      <c r="C170" s="13"/>
      <c r="D170" s="13"/>
      <c r="E170" s="13"/>
      <c r="F170" s="15"/>
      <c r="G170" s="16"/>
      <c r="H170" s="13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7.399999999999999" thickBot="1">
      <c r="A171" s="13"/>
      <c r="B171" s="14"/>
      <c r="C171" s="13"/>
      <c r="D171" s="13"/>
      <c r="E171" s="13"/>
      <c r="F171" s="15"/>
      <c r="G171" s="16"/>
      <c r="H171" s="13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7.399999999999999" thickBot="1">
      <c r="A172" s="13"/>
      <c r="B172" s="14"/>
      <c r="C172" s="13"/>
      <c r="D172" s="13"/>
      <c r="E172" s="13"/>
      <c r="F172" s="15"/>
      <c r="G172" s="16"/>
      <c r="H172" s="13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7.399999999999999" thickBot="1">
      <c r="A173" s="13"/>
      <c r="B173" s="14"/>
      <c r="C173" s="13"/>
      <c r="D173" s="13"/>
      <c r="E173" s="13"/>
      <c r="F173" s="15"/>
      <c r="G173" s="16"/>
      <c r="H173" s="13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7.399999999999999" thickBot="1">
      <c r="A174" s="13"/>
      <c r="B174" s="14"/>
      <c r="C174" s="13"/>
      <c r="D174" s="13"/>
      <c r="E174" s="13"/>
      <c r="F174" s="15"/>
      <c r="G174" s="16"/>
      <c r="H174" s="13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7.399999999999999" thickBot="1">
      <c r="A175" s="13"/>
      <c r="B175" s="14"/>
      <c r="C175" s="13"/>
      <c r="D175" s="13"/>
      <c r="E175" s="13"/>
      <c r="F175" s="15"/>
      <c r="G175" s="16"/>
      <c r="H175" s="13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7.399999999999999" thickBot="1">
      <c r="A176" s="13"/>
      <c r="B176" s="14"/>
      <c r="C176" s="13"/>
      <c r="D176" s="13"/>
      <c r="E176" s="13"/>
      <c r="F176" s="15"/>
      <c r="G176" s="16"/>
      <c r="H176" s="13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7.399999999999999" thickBot="1">
      <c r="A177" s="13"/>
      <c r="B177" s="14"/>
      <c r="C177" s="13"/>
      <c r="D177" s="13"/>
      <c r="E177" s="13"/>
      <c r="F177" s="15"/>
      <c r="G177" s="16"/>
      <c r="H177" s="13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7.399999999999999" thickBot="1">
      <c r="A178" s="13"/>
      <c r="B178" s="14"/>
      <c r="C178" s="13"/>
      <c r="D178" s="13"/>
      <c r="E178" s="13"/>
      <c r="F178" s="15"/>
      <c r="G178" s="16"/>
      <c r="H178" s="13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7.399999999999999" thickBot="1">
      <c r="A179" s="13"/>
      <c r="B179" s="14"/>
      <c r="C179" s="13"/>
      <c r="D179" s="13"/>
      <c r="E179" s="13"/>
      <c r="F179" s="15"/>
      <c r="G179" s="16"/>
      <c r="H179" s="13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7.399999999999999" thickBot="1">
      <c r="A180" s="13"/>
      <c r="B180" s="14"/>
      <c r="C180" s="13"/>
      <c r="D180" s="13"/>
      <c r="E180" s="13"/>
      <c r="F180" s="15"/>
      <c r="G180" s="16"/>
      <c r="H180" s="13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7.399999999999999" thickBot="1">
      <c r="A181" s="13"/>
      <c r="B181" s="14"/>
      <c r="C181" s="13"/>
      <c r="D181" s="13"/>
      <c r="E181" s="13"/>
      <c r="F181" s="15"/>
      <c r="G181" s="16"/>
      <c r="H181" s="13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7.399999999999999" thickBot="1">
      <c r="A182" s="13"/>
      <c r="B182" s="14"/>
      <c r="C182" s="13"/>
      <c r="D182" s="13"/>
      <c r="E182" s="13"/>
      <c r="F182" s="15"/>
      <c r="G182" s="16"/>
      <c r="H182" s="13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7.399999999999999" thickBot="1">
      <c r="A183" s="13"/>
      <c r="B183" s="14"/>
      <c r="C183" s="13"/>
      <c r="D183" s="13"/>
      <c r="E183" s="13"/>
      <c r="F183" s="15"/>
      <c r="G183" s="16"/>
      <c r="H183" s="13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7.399999999999999" thickBot="1">
      <c r="A184" s="13"/>
      <c r="B184" s="14"/>
      <c r="C184" s="13"/>
      <c r="D184" s="13"/>
      <c r="E184" s="13"/>
      <c r="F184" s="15"/>
      <c r="G184" s="16"/>
      <c r="H184" s="13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7.399999999999999" thickBot="1">
      <c r="A185" s="13"/>
      <c r="B185" s="14"/>
      <c r="C185" s="13"/>
      <c r="D185" s="13"/>
      <c r="E185" s="13"/>
      <c r="F185" s="15"/>
      <c r="G185" s="16"/>
      <c r="H185" s="13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7.399999999999999" thickBot="1">
      <c r="A186" s="13"/>
      <c r="B186" s="14"/>
      <c r="C186" s="13"/>
      <c r="D186" s="13"/>
      <c r="E186" s="13"/>
      <c r="F186" s="15"/>
      <c r="G186" s="16"/>
      <c r="H186" s="13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7.399999999999999" thickBot="1">
      <c r="A187" s="13"/>
      <c r="B187" s="14"/>
      <c r="C187" s="13"/>
      <c r="D187" s="13"/>
      <c r="E187" s="13"/>
      <c r="F187" s="15"/>
      <c r="G187" s="16"/>
      <c r="H187" s="13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7.399999999999999" thickBot="1">
      <c r="A188" s="13"/>
      <c r="B188" s="14"/>
      <c r="C188" s="13"/>
      <c r="D188" s="13"/>
      <c r="E188" s="13"/>
      <c r="F188" s="15"/>
      <c r="G188" s="16"/>
      <c r="H188" s="13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7.399999999999999" thickBot="1">
      <c r="A189" s="13"/>
      <c r="B189" s="14"/>
      <c r="C189" s="13"/>
      <c r="D189" s="13"/>
      <c r="E189" s="13"/>
      <c r="F189" s="15"/>
      <c r="G189" s="16"/>
      <c r="H189" s="13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7.399999999999999" thickBot="1">
      <c r="A190" s="13"/>
      <c r="B190" s="14"/>
      <c r="C190" s="13"/>
      <c r="D190" s="13"/>
      <c r="E190" s="13"/>
      <c r="F190" s="15"/>
      <c r="G190" s="16"/>
      <c r="H190" s="13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7.399999999999999" thickBot="1">
      <c r="A191" s="13"/>
      <c r="B191" s="14"/>
      <c r="C191" s="13"/>
      <c r="D191" s="13"/>
      <c r="E191" s="13"/>
      <c r="F191" s="15"/>
      <c r="G191" s="16"/>
      <c r="H191" s="13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7.399999999999999" thickBot="1">
      <c r="A192" s="13"/>
      <c r="B192" s="14"/>
      <c r="C192" s="13"/>
      <c r="D192" s="13"/>
      <c r="E192" s="13"/>
      <c r="F192" s="15"/>
      <c r="G192" s="16"/>
      <c r="H192" s="13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7.399999999999999" thickBot="1">
      <c r="A193" s="13"/>
      <c r="B193" s="14"/>
      <c r="C193" s="13"/>
      <c r="D193" s="13"/>
      <c r="E193" s="13"/>
      <c r="F193" s="15"/>
      <c r="G193" s="16"/>
      <c r="H193" s="13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7.399999999999999" thickBot="1">
      <c r="A194" s="13"/>
      <c r="B194" s="14"/>
      <c r="C194" s="13"/>
      <c r="D194" s="13"/>
      <c r="E194" s="13"/>
      <c r="F194" s="15"/>
      <c r="G194" s="16"/>
      <c r="H194" s="13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7.399999999999999" thickBot="1">
      <c r="A195" s="13"/>
      <c r="B195" s="14"/>
      <c r="C195" s="13"/>
      <c r="D195" s="13"/>
      <c r="E195" s="13"/>
      <c r="F195" s="15"/>
      <c r="G195" s="16"/>
      <c r="H195" s="13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7.399999999999999" thickBot="1">
      <c r="A196" s="13"/>
      <c r="B196" s="14"/>
      <c r="C196" s="13"/>
      <c r="D196" s="13"/>
      <c r="E196" s="13"/>
      <c r="F196" s="15"/>
      <c r="G196" s="16"/>
      <c r="H196" s="13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7.399999999999999" thickBot="1">
      <c r="A197" s="13"/>
      <c r="B197" s="14"/>
      <c r="C197" s="13"/>
      <c r="D197" s="13"/>
      <c r="E197" s="13"/>
      <c r="F197" s="15"/>
      <c r="G197" s="16"/>
      <c r="H197" s="13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7.399999999999999" thickBot="1">
      <c r="A198" s="13"/>
      <c r="B198" s="14"/>
      <c r="C198" s="13"/>
      <c r="D198" s="13"/>
      <c r="E198" s="13"/>
      <c r="F198" s="15"/>
      <c r="G198" s="16"/>
      <c r="H198" s="13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7.399999999999999" thickBot="1">
      <c r="A199" s="13"/>
      <c r="B199" s="14"/>
      <c r="C199" s="13"/>
      <c r="D199" s="13"/>
      <c r="E199" s="13"/>
      <c r="F199" s="15"/>
      <c r="G199" s="16"/>
      <c r="H199" s="13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7.399999999999999" thickBot="1">
      <c r="A200" s="13"/>
      <c r="B200" s="14"/>
      <c r="C200" s="13"/>
      <c r="D200" s="13"/>
      <c r="E200" s="13"/>
      <c r="F200" s="15"/>
      <c r="G200" s="16"/>
      <c r="H200" s="13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7.399999999999999" thickBot="1">
      <c r="A201" s="13"/>
      <c r="B201" s="14"/>
      <c r="C201" s="13"/>
      <c r="D201" s="13"/>
      <c r="E201" s="13"/>
      <c r="F201" s="15"/>
      <c r="G201" s="16"/>
      <c r="H201" s="1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7.399999999999999" thickBot="1">
      <c r="A202" s="13"/>
      <c r="B202" s="14"/>
      <c r="C202" s="13"/>
      <c r="D202" s="13"/>
      <c r="E202" s="13"/>
      <c r="F202" s="15"/>
      <c r="G202" s="16"/>
      <c r="H202" s="13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7.399999999999999" thickBot="1">
      <c r="A203" s="13"/>
      <c r="B203" s="14"/>
      <c r="C203" s="13"/>
      <c r="D203" s="13"/>
      <c r="E203" s="13"/>
      <c r="F203" s="15"/>
      <c r="G203" s="16"/>
      <c r="H203" s="13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7.399999999999999" thickBot="1">
      <c r="A204" s="13"/>
      <c r="B204" s="14"/>
      <c r="C204" s="13"/>
      <c r="D204" s="13"/>
      <c r="E204" s="13"/>
      <c r="F204" s="15"/>
      <c r="G204" s="16"/>
      <c r="H204" s="13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7.399999999999999" thickBot="1">
      <c r="A205" s="13"/>
      <c r="B205" s="14"/>
      <c r="C205" s="13"/>
      <c r="D205" s="13"/>
      <c r="E205" s="13"/>
      <c r="F205" s="15"/>
      <c r="G205" s="16"/>
      <c r="H205" s="13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7.399999999999999" thickBot="1">
      <c r="A206" s="13"/>
      <c r="B206" s="14"/>
      <c r="C206" s="13"/>
      <c r="D206" s="13"/>
      <c r="E206" s="13"/>
      <c r="F206" s="15"/>
      <c r="G206" s="16"/>
      <c r="H206" s="13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7.399999999999999" thickBot="1">
      <c r="A207" s="13"/>
      <c r="B207" s="14"/>
      <c r="C207" s="13"/>
      <c r="D207" s="13"/>
      <c r="E207" s="13"/>
      <c r="F207" s="15"/>
      <c r="G207" s="16"/>
      <c r="H207" s="13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7.399999999999999" thickBot="1">
      <c r="A208" s="13"/>
      <c r="B208" s="14"/>
      <c r="C208" s="13"/>
      <c r="D208" s="13"/>
      <c r="E208" s="13"/>
      <c r="F208" s="15"/>
      <c r="G208" s="16"/>
      <c r="H208" s="13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7.399999999999999" thickBot="1">
      <c r="A209" s="13"/>
      <c r="B209" s="14"/>
      <c r="C209" s="13"/>
      <c r="D209" s="13"/>
      <c r="E209" s="13"/>
      <c r="F209" s="15"/>
      <c r="G209" s="16"/>
      <c r="H209" s="1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7.399999999999999" thickBot="1">
      <c r="A210" s="13"/>
      <c r="B210" s="14"/>
      <c r="C210" s="13"/>
      <c r="D210" s="13"/>
      <c r="E210" s="13"/>
      <c r="F210" s="15"/>
      <c r="G210" s="16"/>
      <c r="H210" s="1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7.399999999999999" thickBot="1">
      <c r="A211" s="13"/>
      <c r="B211" s="14"/>
      <c r="C211" s="13"/>
      <c r="D211" s="13"/>
      <c r="E211" s="13"/>
      <c r="F211" s="15"/>
      <c r="G211" s="16"/>
      <c r="H211" s="1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7.399999999999999" thickBot="1">
      <c r="A212" s="13"/>
      <c r="B212" s="14"/>
      <c r="C212" s="13"/>
      <c r="D212" s="13"/>
      <c r="E212" s="13"/>
      <c r="F212" s="15"/>
      <c r="G212" s="16"/>
      <c r="H212" s="1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7.399999999999999" thickBot="1">
      <c r="A213" s="13"/>
      <c r="B213" s="14"/>
      <c r="C213" s="13"/>
      <c r="D213" s="13"/>
      <c r="E213" s="13"/>
      <c r="F213" s="15"/>
      <c r="G213" s="16"/>
      <c r="H213" s="13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7.399999999999999" thickBot="1">
      <c r="A214" s="13"/>
      <c r="B214" s="14"/>
      <c r="C214" s="13"/>
      <c r="D214" s="13"/>
      <c r="E214" s="13"/>
      <c r="F214" s="15"/>
      <c r="G214" s="16"/>
      <c r="H214" s="13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7.399999999999999" thickBot="1">
      <c r="A215" s="13"/>
      <c r="B215" s="14"/>
      <c r="C215" s="13"/>
      <c r="D215" s="13"/>
      <c r="E215" s="13"/>
      <c r="F215" s="15"/>
      <c r="G215" s="16"/>
      <c r="H215" s="13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7.399999999999999" thickBot="1">
      <c r="A216" s="13"/>
      <c r="B216" s="14"/>
      <c r="C216" s="13"/>
      <c r="D216" s="13"/>
      <c r="E216" s="13"/>
      <c r="F216" s="15"/>
      <c r="G216" s="16"/>
      <c r="H216" s="13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7.399999999999999" thickBot="1">
      <c r="A217" s="13"/>
      <c r="B217" s="14"/>
      <c r="C217" s="13"/>
      <c r="D217" s="13"/>
      <c r="E217" s="13"/>
      <c r="F217" s="15"/>
      <c r="G217" s="16"/>
      <c r="H217" s="13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7.399999999999999" thickBot="1">
      <c r="A218" s="13"/>
      <c r="B218" s="14"/>
      <c r="C218" s="13"/>
      <c r="D218" s="13"/>
      <c r="E218" s="13"/>
      <c r="F218" s="15"/>
      <c r="G218" s="16"/>
      <c r="H218" s="13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7.399999999999999" thickBot="1">
      <c r="A219" s="13"/>
      <c r="B219" s="14"/>
      <c r="C219" s="13"/>
      <c r="D219" s="13"/>
      <c r="E219" s="13"/>
      <c r="F219" s="15"/>
      <c r="G219" s="16"/>
      <c r="H219" s="13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7.399999999999999" thickBot="1">
      <c r="A220" s="13"/>
      <c r="B220" s="14"/>
      <c r="C220" s="13"/>
      <c r="D220" s="13"/>
      <c r="E220" s="13"/>
      <c r="F220" s="15"/>
      <c r="G220" s="16"/>
      <c r="H220" s="13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7.399999999999999" thickBot="1">
      <c r="A221" s="13"/>
      <c r="B221" s="14"/>
      <c r="C221" s="13"/>
      <c r="D221" s="13"/>
      <c r="E221" s="13"/>
      <c r="F221" s="15"/>
      <c r="G221" s="16"/>
      <c r="H221" s="13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7.399999999999999" thickBot="1">
      <c r="A222" s="13"/>
      <c r="B222" s="14"/>
      <c r="C222" s="13"/>
      <c r="D222" s="13"/>
      <c r="E222" s="13"/>
      <c r="F222" s="15"/>
      <c r="G222" s="16"/>
      <c r="H222" s="13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7.399999999999999" thickBot="1">
      <c r="A223" s="13"/>
      <c r="B223" s="14"/>
      <c r="C223" s="13"/>
      <c r="D223" s="13"/>
      <c r="E223" s="13"/>
      <c r="F223" s="15"/>
      <c r="G223" s="16"/>
      <c r="H223" s="13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7.399999999999999" thickBot="1">
      <c r="A224" s="13"/>
      <c r="B224" s="14"/>
      <c r="C224" s="13"/>
      <c r="D224" s="13"/>
      <c r="E224" s="13"/>
      <c r="F224" s="15"/>
      <c r="G224" s="16"/>
      <c r="H224" s="13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7.399999999999999" thickBot="1">
      <c r="A225" s="13"/>
      <c r="B225" s="14"/>
      <c r="C225" s="13"/>
      <c r="D225" s="13"/>
      <c r="E225" s="13"/>
      <c r="F225" s="15"/>
      <c r="G225" s="16"/>
      <c r="H225" s="13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7.399999999999999" thickBot="1">
      <c r="A226" s="13"/>
      <c r="B226" s="14"/>
      <c r="C226" s="13"/>
      <c r="D226" s="13"/>
      <c r="E226" s="13"/>
      <c r="F226" s="15"/>
      <c r="G226" s="16"/>
      <c r="H226" s="13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7.399999999999999" thickBot="1">
      <c r="A227" s="13"/>
      <c r="B227" s="14"/>
      <c r="C227" s="13"/>
      <c r="D227" s="13"/>
      <c r="E227" s="13"/>
      <c r="F227" s="15"/>
      <c r="G227" s="16"/>
      <c r="H227" s="13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7.399999999999999" thickBot="1">
      <c r="A228" s="13"/>
      <c r="B228" s="14"/>
      <c r="C228" s="13"/>
      <c r="D228" s="13"/>
      <c r="E228" s="13"/>
      <c r="F228" s="15"/>
      <c r="G228" s="16"/>
      <c r="H228" s="13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7.399999999999999" thickBot="1">
      <c r="A229" s="13"/>
      <c r="B229" s="14"/>
      <c r="C229" s="13"/>
      <c r="D229" s="13"/>
      <c r="E229" s="13"/>
      <c r="F229" s="15"/>
      <c r="G229" s="16"/>
      <c r="H229" s="13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7.399999999999999" thickBot="1">
      <c r="A230" s="13"/>
      <c r="B230" s="14"/>
      <c r="C230" s="13"/>
      <c r="D230" s="13"/>
      <c r="E230" s="13"/>
      <c r="F230" s="15"/>
      <c r="G230" s="16"/>
      <c r="H230" s="13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7.399999999999999" thickBot="1">
      <c r="A231" s="13"/>
      <c r="B231" s="14"/>
      <c r="C231" s="13"/>
      <c r="D231" s="13"/>
      <c r="E231" s="13"/>
      <c r="F231" s="15"/>
      <c r="G231" s="16"/>
      <c r="H231" s="13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7.399999999999999" thickBot="1">
      <c r="A232" s="13"/>
      <c r="B232" s="14"/>
      <c r="C232" s="13"/>
      <c r="D232" s="13"/>
      <c r="E232" s="13"/>
      <c r="F232" s="15"/>
      <c r="G232" s="16"/>
      <c r="H232" s="13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7.399999999999999" thickBot="1">
      <c r="A233" s="13"/>
      <c r="B233" s="14"/>
      <c r="C233" s="13"/>
      <c r="D233" s="13"/>
      <c r="E233" s="13"/>
      <c r="F233" s="15"/>
      <c r="G233" s="16"/>
      <c r="H233" s="13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7.399999999999999" thickBot="1">
      <c r="A234" s="13"/>
      <c r="B234" s="14"/>
      <c r="C234" s="13"/>
      <c r="D234" s="13"/>
      <c r="E234" s="13"/>
      <c r="F234" s="15"/>
      <c r="G234" s="16"/>
      <c r="H234" s="13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7.399999999999999" thickBot="1">
      <c r="A235" s="13"/>
      <c r="B235" s="14"/>
      <c r="C235" s="13"/>
      <c r="D235" s="13"/>
      <c r="E235" s="13"/>
      <c r="F235" s="15"/>
      <c r="G235" s="16"/>
      <c r="H235" s="13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7.399999999999999" thickBot="1">
      <c r="A236" s="13"/>
      <c r="B236" s="14"/>
      <c r="C236" s="13"/>
      <c r="D236" s="13"/>
      <c r="E236" s="13"/>
      <c r="F236" s="15"/>
      <c r="G236" s="16"/>
      <c r="H236" s="13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7.399999999999999" thickBot="1">
      <c r="A237" s="13"/>
      <c r="B237" s="14"/>
      <c r="C237" s="13"/>
      <c r="D237" s="13"/>
      <c r="E237" s="13"/>
      <c r="F237" s="15"/>
      <c r="G237" s="16"/>
      <c r="H237" s="13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7.399999999999999" thickBot="1">
      <c r="A238" s="13"/>
      <c r="B238" s="14"/>
      <c r="C238" s="13"/>
      <c r="D238" s="13"/>
      <c r="E238" s="13"/>
      <c r="F238" s="15"/>
      <c r="G238" s="16"/>
      <c r="H238" s="13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7.399999999999999" thickBot="1">
      <c r="A239" s="13"/>
      <c r="B239" s="14"/>
      <c r="C239" s="13"/>
      <c r="D239" s="13"/>
      <c r="E239" s="13"/>
      <c r="F239" s="15"/>
      <c r="G239" s="16"/>
      <c r="H239" s="13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7.399999999999999" thickBot="1">
      <c r="A240" s="13"/>
      <c r="B240" s="14"/>
      <c r="C240" s="13"/>
      <c r="D240" s="13"/>
      <c r="E240" s="13"/>
      <c r="F240" s="15"/>
      <c r="G240" s="16"/>
      <c r="H240" s="13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7.399999999999999" thickBot="1">
      <c r="A241" s="13"/>
      <c r="B241" s="14"/>
      <c r="C241" s="13"/>
      <c r="D241" s="13"/>
      <c r="E241" s="13"/>
      <c r="F241" s="15"/>
      <c r="G241" s="16"/>
      <c r="H241" s="13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7.399999999999999" thickBot="1">
      <c r="A242" s="13"/>
      <c r="B242" s="14"/>
      <c r="C242" s="13"/>
      <c r="D242" s="13"/>
      <c r="E242" s="13"/>
      <c r="F242" s="15"/>
      <c r="G242" s="16"/>
      <c r="H242" s="13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7.399999999999999" thickBot="1">
      <c r="A243" s="13"/>
      <c r="B243" s="14"/>
      <c r="C243" s="13"/>
      <c r="D243" s="13"/>
      <c r="E243" s="13"/>
      <c r="F243" s="15"/>
      <c r="G243" s="16"/>
      <c r="H243" s="13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7.399999999999999" thickBot="1">
      <c r="A244" s="13"/>
      <c r="B244" s="14"/>
      <c r="C244" s="13"/>
      <c r="D244" s="13"/>
      <c r="E244" s="13"/>
      <c r="F244" s="15"/>
      <c r="G244" s="16"/>
      <c r="H244" s="13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7.399999999999999" thickBot="1">
      <c r="A245" s="13"/>
      <c r="B245" s="14"/>
      <c r="C245" s="13"/>
      <c r="D245" s="13"/>
      <c r="E245" s="13"/>
      <c r="F245" s="15"/>
      <c r="G245" s="16"/>
      <c r="H245" s="13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7.399999999999999" thickBot="1">
      <c r="A246" s="13"/>
      <c r="B246" s="14"/>
      <c r="C246" s="13"/>
      <c r="D246" s="13"/>
      <c r="E246" s="13"/>
      <c r="F246" s="15"/>
      <c r="G246" s="16"/>
      <c r="H246" s="13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7.399999999999999" thickBot="1">
      <c r="A247" s="13"/>
      <c r="B247" s="14"/>
      <c r="C247" s="13"/>
      <c r="D247" s="13"/>
      <c r="E247" s="13"/>
      <c r="F247" s="15"/>
      <c r="G247" s="16"/>
      <c r="H247" s="13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7.399999999999999" thickBot="1">
      <c r="A248" s="13"/>
      <c r="B248" s="14"/>
      <c r="C248" s="13"/>
      <c r="D248" s="13"/>
      <c r="E248" s="13"/>
      <c r="F248" s="15"/>
      <c r="G248" s="16"/>
      <c r="H248" s="13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7.399999999999999" thickBot="1">
      <c r="A249" s="13"/>
      <c r="B249" s="14"/>
      <c r="C249" s="13"/>
      <c r="D249" s="13"/>
      <c r="E249" s="13"/>
      <c r="F249" s="15"/>
      <c r="G249" s="16"/>
      <c r="H249" s="13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7.399999999999999" thickBot="1">
      <c r="A250" s="13"/>
      <c r="B250" s="14"/>
      <c r="C250" s="13"/>
      <c r="D250" s="13"/>
      <c r="E250" s="13"/>
      <c r="F250" s="15"/>
      <c r="G250" s="16"/>
      <c r="H250" s="13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7.399999999999999" thickBot="1">
      <c r="A251" s="13"/>
      <c r="B251" s="14"/>
      <c r="C251" s="13"/>
      <c r="D251" s="13"/>
      <c r="E251" s="13"/>
      <c r="F251" s="15"/>
      <c r="G251" s="16"/>
      <c r="H251" s="13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7.399999999999999" thickBot="1">
      <c r="A252" s="13"/>
      <c r="B252" s="14"/>
      <c r="C252" s="13"/>
      <c r="D252" s="13"/>
      <c r="E252" s="13"/>
      <c r="F252" s="15"/>
      <c r="G252" s="16"/>
      <c r="H252" s="13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7.399999999999999" thickBot="1">
      <c r="A253" s="13"/>
      <c r="B253" s="14"/>
      <c r="C253" s="13"/>
      <c r="D253" s="13"/>
      <c r="E253" s="13"/>
      <c r="F253" s="15"/>
      <c r="G253" s="16"/>
      <c r="H253" s="13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7.399999999999999" thickBot="1">
      <c r="A254" s="13"/>
      <c r="B254" s="14"/>
      <c r="C254" s="13"/>
      <c r="D254" s="13"/>
      <c r="E254" s="13"/>
      <c r="F254" s="15"/>
      <c r="G254" s="16"/>
      <c r="H254" s="13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7.399999999999999" thickBot="1">
      <c r="A255" s="13"/>
      <c r="B255" s="14"/>
      <c r="C255" s="13"/>
      <c r="D255" s="13"/>
      <c r="E255" s="13"/>
      <c r="F255" s="15"/>
      <c r="G255" s="16"/>
      <c r="H255" s="13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7.399999999999999" thickBot="1">
      <c r="A256" s="13"/>
      <c r="B256" s="14"/>
      <c r="C256" s="13"/>
      <c r="D256" s="13"/>
      <c r="E256" s="13"/>
      <c r="F256" s="15"/>
      <c r="G256" s="16"/>
      <c r="H256" s="13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7.399999999999999" thickBot="1">
      <c r="A257" s="13"/>
      <c r="B257" s="14"/>
      <c r="C257" s="13"/>
      <c r="D257" s="13"/>
      <c r="E257" s="13"/>
      <c r="F257" s="15"/>
      <c r="G257" s="16"/>
      <c r="H257" s="13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7.399999999999999" thickBot="1">
      <c r="A258" s="13"/>
      <c r="B258" s="14"/>
      <c r="C258" s="13"/>
      <c r="D258" s="13"/>
      <c r="E258" s="13"/>
      <c r="F258" s="15"/>
      <c r="G258" s="16"/>
      <c r="H258" s="13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7.399999999999999" thickBot="1">
      <c r="A259" s="13"/>
      <c r="B259" s="14"/>
      <c r="C259" s="13"/>
      <c r="D259" s="13"/>
      <c r="E259" s="13"/>
      <c r="F259" s="15"/>
      <c r="G259" s="16"/>
      <c r="H259" s="13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7.399999999999999" thickBot="1">
      <c r="A260" s="13"/>
      <c r="B260" s="14"/>
      <c r="C260" s="13"/>
      <c r="D260" s="13"/>
      <c r="E260" s="13"/>
      <c r="F260" s="15"/>
      <c r="G260" s="16"/>
      <c r="H260" s="13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7.399999999999999" thickBot="1">
      <c r="A261" s="13"/>
      <c r="B261" s="14"/>
      <c r="C261" s="13"/>
      <c r="D261" s="13"/>
      <c r="E261" s="13"/>
      <c r="F261" s="15"/>
      <c r="G261" s="16"/>
      <c r="H261" s="13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7.399999999999999" thickBot="1">
      <c r="A262" s="13"/>
      <c r="B262" s="14"/>
      <c r="C262" s="13"/>
      <c r="D262" s="13"/>
      <c r="E262" s="13"/>
      <c r="F262" s="15"/>
      <c r="G262" s="16"/>
      <c r="H262" s="13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7.399999999999999" thickBot="1">
      <c r="A263" s="13"/>
      <c r="B263" s="14"/>
      <c r="C263" s="13"/>
      <c r="D263" s="13"/>
      <c r="E263" s="13"/>
      <c r="F263" s="15"/>
      <c r="G263" s="16"/>
      <c r="H263" s="13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7.399999999999999" thickBot="1">
      <c r="A264" s="13"/>
      <c r="B264" s="14"/>
      <c r="C264" s="13"/>
      <c r="D264" s="13"/>
      <c r="E264" s="13"/>
      <c r="F264" s="15"/>
      <c r="G264" s="16"/>
      <c r="H264" s="13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7.399999999999999" thickBot="1">
      <c r="A265" s="13"/>
      <c r="B265" s="14"/>
      <c r="C265" s="13"/>
      <c r="D265" s="13"/>
      <c r="E265" s="13"/>
      <c r="F265" s="15"/>
      <c r="G265" s="16"/>
      <c r="H265" s="13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7.399999999999999" thickBot="1">
      <c r="A266" s="13"/>
      <c r="B266" s="14"/>
      <c r="C266" s="13"/>
      <c r="D266" s="13"/>
      <c r="E266" s="13"/>
      <c r="F266" s="15"/>
      <c r="G266" s="16"/>
      <c r="H266" s="13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7.399999999999999" thickBot="1">
      <c r="A267" s="13"/>
      <c r="B267" s="14"/>
      <c r="C267" s="13"/>
      <c r="D267" s="13"/>
      <c r="E267" s="13"/>
      <c r="F267" s="15"/>
      <c r="G267" s="16"/>
      <c r="H267" s="13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7.399999999999999" thickBot="1">
      <c r="A268" s="13"/>
      <c r="B268" s="14"/>
      <c r="C268" s="13"/>
      <c r="D268" s="13"/>
      <c r="E268" s="13"/>
      <c r="F268" s="15"/>
      <c r="G268" s="16"/>
      <c r="H268" s="13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7.399999999999999" thickBot="1">
      <c r="A269" s="13"/>
      <c r="B269" s="14"/>
      <c r="C269" s="13"/>
      <c r="D269" s="13"/>
      <c r="E269" s="13"/>
      <c r="F269" s="15"/>
      <c r="G269" s="16"/>
      <c r="H269" s="13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6" thickBo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6" thickBo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6" thickBo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6" thickBo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6" thickBo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6" thickBo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6" thickBo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6" thickBo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6" thickBo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6" thickBo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6" thickBo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6" thickBo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6" thickBo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6" thickBo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6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6" thickBo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6" thickBo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6" thickBo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6" thickBo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6" thickBo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6" thickBo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6" thickBo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6" thickBo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6" thickBo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6" thickBo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6" thickBo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6" thickBo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6" thickBo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6" thickBo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6" thickBo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6" thickBo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6" thickBo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6" thickBo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6" thickBo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6" thickBo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6" thickBo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6" thickBo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6" thickBo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6" thickBo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6" thickBo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6" thickBo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6" thickBo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6" thickBo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6" thickBo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6" thickBo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6" thickBo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6" thickBo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6" thickBo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6" thickBo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6" thickBo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6" thickBo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6" thickBo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6" thickBo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6" thickBo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6" thickBo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6" thickBo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6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6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6" thickBo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6" thickBo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6" thickBo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6" thickBo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6" thickBo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6" thickBo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6" thickBo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6" thickBo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6" thickBo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6" thickBo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6" thickBo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6" thickBo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6" thickBo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6" thickBo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6" thickBo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6" thickBo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6" thickBo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6" thickBo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6" thickBo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6" thickBo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6" thickBo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6" thickBo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6" thickBo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6" thickBo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6" thickBo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6" thickBo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6" thickBo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6" thickBo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6" thickBo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6" thickBo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6" thickBo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6" thickBo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6" thickBo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6" thickBo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6" thickBo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6" thickBo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6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6" thickBo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6" thickBo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6" thickBo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6" thickBo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6" thickBo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6" thickBo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6" thickBo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6" thickBo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6" thickBo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6" thickBo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6" thickBo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6" thickBo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6" thickBo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6" thickBo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6" thickBo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6" thickBo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6" thickBo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6" thickBo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6" thickBo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6" thickBo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6" thickBo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6" thickBo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6" thickBo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6" thickBo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6" thickBo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6" thickBo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6" thickBo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6" thickBo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6" thickBo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6" thickBo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6" thickBo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6" thickBo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6" thickBo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6" thickBo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6" thickBo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6" thickBo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6" thickBo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6" thickBo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6" thickBo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6" thickBo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6" thickBo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6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6" thickBo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6" thickBo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6" thickBo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6" thickBo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6" thickBo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6" thickBo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6" thickBo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6" thickBo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6" thickBo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6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6" thickBo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6" thickBo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6" thickBo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6" thickBo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6" thickBo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6" thickBo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6" thickBo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6" thickBo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6" thickBo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6" thickBo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6" thickBo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6" thickBo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6" thickBo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6" thickBo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6" thickBo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6" thickBo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6" thickBo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6" thickBo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6" thickBo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6" thickBo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6" thickBo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6" thickBo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6" thickBo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6" thickBo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6" thickBo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6" thickBo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6" thickBo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6" thickBo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6" thickBo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6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6" thickBo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6" thickBo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6" thickBo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6" thickBo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6" thickBo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6" thickBo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6" thickBo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6" thickBo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6" thickBo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6" thickBo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6" thickBo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6" thickBo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6" thickBo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6" thickBo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6" thickBo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6" thickBo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6" thickBo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6" thickBo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6" thickBo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6" thickBo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6" thickBo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6" thickBo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6" thickBo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6" thickBo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6" thickBo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6" thickBo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6" thickBo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6" thickBo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6" thickBo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6" thickBo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6" thickBo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6" thickBo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6" thickBo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6" thickBo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6" thickBo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6" thickBo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6" thickBo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6" thickBo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6" thickBo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6" thickBo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6" thickBo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6" thickBo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6" thickBo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6" thickBo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6" thickBo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6" thickBo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6" thickBo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6" thickBo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6" thickBo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6" thickBo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6" thickBo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6" thickBo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6" thickBo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6" thickBo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6" thickBo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6" thickBo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6" thickBo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6" thickBo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6" thickBo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6" thickBo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6" thickBo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6" thickBo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6" thickBo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6" thickBo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6" thickBo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6" thickBo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6" thickBo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6" thickBo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6" thickBo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6" thickBo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6" thickBo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6" thickBo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6" thickBo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6" thickBo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6" thickBo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6" thickBo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6" thickBo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6" thickBo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6" thickBo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6" thickBo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6" thickBo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6" thickBo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6" thickBo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6" thickBo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6" thickBo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6" thickBo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6" thickBo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6" thickBo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6" thickBo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6" thickBo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6" thickBo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6" thickBo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6" thickBo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6" thickBo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6" thickBo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6" thickBo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6" thickBo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6" thickBo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6" thickBo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6" thickBo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6" thickBo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6" thickBo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6" thickBo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6" thickBo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6" thickBo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6" thickBo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6" thickBo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6" thickBo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6" thickBo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6" thickBo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6" thickBo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6" thickBo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6" thickBo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6" thickBo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6" thickBo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6" thickBo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6" thickBo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6" thickBo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6" thickBo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6" thickBo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6" thickBo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6" thickBo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6" thickBo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6" thickBo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6" thickBo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6" thickBo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6" thickBo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6" thickBo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6" thickBo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6" thickBo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6" thickBo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6" thickBo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6" thickBo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6" thickBo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6" thickBo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6" thickBo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6" thickBo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6" thickBo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6" thickBo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6" thickBo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6" thickBo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6" thickBo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6" thickBo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6" thickBo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6" thickBo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6" thickBo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6" thickBo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6" thickBo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6" thickBo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6" thickBo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6" thickBo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6" thickBo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6" thickBo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6" thickBo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6" thickBo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6" thickBo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6" thickBo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6" thickBo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6" thickBo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6" thickBo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6" thickBo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6" thickBo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6" thickBo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6" thickBo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6" thickBo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6" thickBo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6" thickBo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6" thickBo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6" thickBo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6" thickBo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6" thickBo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6" thickBo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6" thickBo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6" thickBo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6" thickBo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6" thickBo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6" thickBo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6" thickBo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6" thickBo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6" thickBo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6" thickBo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6" thickBo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6" thickBo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6" thickBo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6" thickBo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6" thickBo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6" thickBo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6" thickBo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6" thickBo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6" thickBo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6" thickBo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6" thickBo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6" thickBo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6" thickBo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6" thickBo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6" thickBo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6" thickBo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6" thickBo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6" thickBo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6" thickBo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6" thickBo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6" thickBo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6" thickBo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6" thickBo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6" thickBo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6" thickBo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6" thickBo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6" thickBo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6" thickBo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6" thickBo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6" thickBo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6" thickBo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6" thickBo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6" thickBo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6" thickBo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6" thickBo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6" thickBo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6" thickBo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6" thickBo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6" thickBo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6" thickBo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6" thickBo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6" thickBo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6" thickBo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6" thickBo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6" thickBo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6" thickBo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6" thickBo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6" thickBo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6" thickBo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6" thickBo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6" thickBo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6" thickBo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6" thickBo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6" thickBo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6" thickBo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6" thickBo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6" thickBo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6" thickBo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6" thickBo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6" thickBo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6" thickBo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6" thickBo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6" thickBo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6" thickBo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6" thickBo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6" thickBo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6" thickBo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6" thickBo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6" thickBo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6" thickBo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6" thickBo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6" thickBo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6" thickBo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6" thickBo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6" thickBo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6" thickBo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6" thickBo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6" thickBo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6" thickBo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6" thickBo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6" thickBo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6" thickBo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6" thickBo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6" thickBo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6" thickBo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6" thickBo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6" thickBo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6" thickBo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6" thickBo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6" thickBo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6" thickBo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6" thickBo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6" thickBo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6" thickBo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6" thickBo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6" thickBo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6" thickBo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6" thickBo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6" thickBo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6" thickBo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6" thickBo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6" thickBo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6" thickBo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6" thickBo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6" thickBo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6" thickBo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6" thickBo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6" thickBo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6" thickBo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6" thickBo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6" thickBo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6" thickBo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6" thickBo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6" thickBo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6" thickBo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6" thickBo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6" thickBo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6" thickBo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6" thickBo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6" thickBo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6" thickBo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6" thickBo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6" thickBo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6" thickBo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6" thickBo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6" thickBo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6" thickBo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6" thickBo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6" thickBo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6" thickBo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6" thickBo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6" thickBo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6" thickBo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6" thickBo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6" thickBo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6" thickBo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6" thickBo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6" thickBo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6" thickBo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6" thickBo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6" thickBo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6" thickBo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6" thickBo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6" thickBo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6" thickBo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6" thickBo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6" thickBo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6" thickBo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6" thickBo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6" thickBo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6" thickBo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6" thickBo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6" thickBo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6" thickBo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6" thickBo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6" thickBo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6" thickBo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6" thickBo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6" thickBo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6" thickBo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6" thickBo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6" thickBo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6" thickBo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6" thickBo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6" thickBo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6" thickBo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6" thickBo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6" thickBo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6" thickBo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6" thickBo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6" thickBo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6" thickBo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6" thickBo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6" thickBo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6" thickBo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6" thickBo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6" thickBo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6" thickBo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6" thickBo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6" thickBo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6" thickBo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6" thickBo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6" thickBo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6" thickBo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6" thickBo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6" thickBo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6" thickBo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6" thickBo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6" thickBo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6" thickBo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6" thickBo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6" thickBo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6" thickBo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6" thickBo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6" thickBo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6" thickBo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6" thickBo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6" thickBo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6" thickBo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6" thickBo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6" thickBo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6" thickBo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6" thickBo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6" thickBo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6" thickBo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6" thickBo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6" thickBo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6" thickBo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6" thickBo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6" thickBo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6" thickBo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6" thickBo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6" thickBo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6" thickBo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6" thickBo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6" thickBo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6" thickBo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6" thickBo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6" thickBo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6" thickBo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6" thickBo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6" thickBo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6" thickBo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6" thickBo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6" thickBo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6" thickBo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6" thickBo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6" thickBo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6" thickBo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6" thickBo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6" thickBo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6" thickBo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6" thickBo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6" thickBo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6" thickBo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6" thickBo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6" thickBo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6" thickBo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6" thickBo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6" thickBo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6" thickBo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6" thickBo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6" thickBo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6" thickBo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6" thickBo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6" thickBo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6" thickBo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6" thickBo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6" thickBo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6" thickBo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6" thickBo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6" thickBo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6" thickBo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6" thickBo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6" thickBo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6" thickBo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6" thickBo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6" thickBo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6" thickBo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6" thickBo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6" thickBo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6" thickBo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6" thickBo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6" thickBo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6" thickBo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6" thickBo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6" thickBo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6" thickBo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6" thickBo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6" thickBo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6" thickBo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6" thickBo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6" thickBo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6" thickBo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6" thickBo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6" thickBo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6" thickBo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6" thickBo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6" thickBo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6" thickBo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6" thickBo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6" thickBo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6" thickBo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6" thickBo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6" thickBo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6" thickBo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6" thickBo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6" thickBo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6" thickBo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6" thickBo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6" thickBo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6" thickBo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6" thickBo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6" thickBo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6" thickBo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6" thickBo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6" thickBo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6" thickBo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6" thickBo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6" thickBo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6" thickBo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6" thickBo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6" thickBo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6" thickBo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6" thickBo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6" thickBo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6" thickBo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6" thickBo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6" thickBo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6" thickBo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6" thickBo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6" thickBo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6" thickBo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6" thickBo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6" thickBo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6" thickBo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6" thickBo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6" thickBo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6" thickBo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6" thickBo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6" thickBo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6" thickBo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6" thickBo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6" thickBo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6" thickBo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6" thickBo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6" thickBo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6" thickBo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6" thickBo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6" thickBo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6" thickBo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6" thickBo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6" thickBo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6" thickBo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6" thickBo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6" thickBo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6" thickBo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6" thickBo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6" thickBo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6" thickBo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6" thickBo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6" thickBo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6" thickBo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6" thickBo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6" thickBo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6" thickBo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6" thickBo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6" thickBo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6" thickBo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6" thickBo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6" thickBo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6" thickBo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6" thickBo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6" thickBo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6" thickBo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6" thickBo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6" thickBo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6" thickBo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6" thickBo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6" thickBo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6" thickBo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6" thickBo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56EC-5CB7-47D7-9C9F-2D868834FAE0}">
  <dimension ref="A1:Z1000"/>
  <sheetViews>
    <sheetView tabSelected="1" workbookViewId="0">
      <selection activeCell="C2" sqref="C2"/>
    </sheetView>
  </sheetViews>
  <sheetFormatPr defaultRowHeight="13.8"/>
  <cols>
    <col min="1" max="1" width="18.69921875" customWidth="1"/>
    <col min="2" max="2" width="11.69921875" bestFit="1" customWidth="1"/>
    <col min="3" max="3" width="22" customWidth="1"/>
    <col min="4" max="4" width="13.296875" customWidth="1"/>
    <col min="5" max="5" width="31.796875" customWidth="1"/>
    <col min="6" max="6" width="7.19921875" bestFit="1" customWidth="1"/>
    <col min="7" max="7" width="10.5" bestFit="1" customWidth="1"/>
    <col min="8" max="8" width="17.59765625" customWidth="1"/>
  </cols>
  <sheetData>
    <row r="1" spans="1:26" ht="34.200000000000003" thickBot="1">
      <c r="A1" s="11" t="s">
        <v>15</v>
      </c>
      <c r="B1" s="11" t="s">
        <v>18</v>
      </c>
      <c r="C1" s="11" t="s">
        <v>332</v>
      </c>
      <c r="D1" s="11" t="s">
        <v>333</v>
      </c>
      <c r="E1" s="11" t="s">
        <v>25</v>
      </c>
      <c r="F1" s="11" t="s">
        <v>27</v>
      </c>
      <c r="G1" s="11" t="s">
        <v>30</v>
      </c>
      <c r="H1" s="11" t="s">
        <v>34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7.399999999999999" thickBot="1">
      <c r="A2" s="13" t="s">
        <v>334</v>
      </c>
      <c r="B2" s="14">
        <v>44928</v>
      </c>
      <c r="C2" s="13" t="s">
        <v>335</v>
      </c>
      <c r="D2" s="13" t="s">
        <v>336</v>
      </c>
      <c r="E2" s="13" t="s">
        <v>337</v>
      </c>
      <c r="F2" s="15"/>
      <c r="G2" s="16">
        <v>25000000</v>
      </c>
      <c r="H2" s="13" t="s">
        <v>338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399999999999999" thickBot="1">
      <c r="A3" s="13" t="s">
        <v>339</v>
      </c>
      <c r="B3" s="14">
        <v>44929</v>
      </c>
      <c r="C3" s="13" t="s">
        <v>340</v>
      </c>
      <c r="D3" s="13" t="s">
        <v>341</v>
      </c>
      <c r="E3" s="13" t="s">
        <v>342</v>
      </c>
      <c r="F3" s="15">
        <v>2</v>
      </c>
      <c r="G3" s="16">
        <v>1800000</v>
      </c>
      <c r="H3" s="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7.399999999999999" thickBot="1">
      <c r="A4" s="13" t="s">
        <v>343</v>
      </c>
      <c r="B4" s="14">
        <v>44929</v>
      </c>
      <c r="C4" s="13" t="s">
        <v>344</v>
      </c>
      <c r="D4" s="13" t="s">
        <v>345</v>
      </c>
      <c r="E4" s="13" t="s">
        <v>346</v>
      </c>
      <c r="F4" s="15">
        <v>1</v>
      </c>
      <c r="G4" s="16">
        <v>2200000</v>
      </c>
      <c r="H4" s="13" t="s">
        <v>347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7.399999999999999" thickBot="1">
      <c r="A5" s="13" t="s">
        <v>348</v>
      </c>
      <c r="B5" s="14">
        <v>44930</v>
      </c>
      <c r="C5" s="13" t="s">
        <v>349</v>
      </c>
      <c r="D5" s="13"/>
      <c r="E5" s="13" t="s">
        <v>350</v>
      </c>
      <c r="F5" s="15"/>
      <c r="G5" s="16">
        <v>6500000</v>
      </c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200000000000003" thickBot="1">
      <c r="A6" s="13" t="s">
        <v>351</v>
      </c>
      <c r="B6" s="14">
        <v>44931</v>
      </c>
      <c r="C6" s="13" t="s">
        <v>352</v>
      </c>
      <c r="D6" s="13" t="s">
        <v>341</v>
      </c>
      <c r="E6" s="13" t="s">
        <v>353</v>
      </c>
      <c r="F6" s="15">
        <v>3</v>
      </c>
      <c r="G6" s="16">
        <v>2500000</v>
      </c>
      <c r="H6" s="13" t="s">
        <v>354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7.399999999999999" thickBot="1">
      <c r="A7" s="13" t="s">
        <v>355</v>
      </c>
      <c r="B7" s="14">
        <v>44931</v>
      </c>
      <c r="C7" s="13" t="s">
        <v>356</v>
      </c>
      <c r="D7" s="13" t="s">
        <v>336</v>
      </c>
      <c r="E7" s="13" t="s">
        <v>357</v>
      </c>
      <c r="F7" s="15">
        <v>1</v>
      </c>
      <c r="G7" s="16">
        <v>7500000</v>
      </c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7.399999999999999" thickBot="1">
      <c r="A8" s="13" t="s">
        <v>358</v>
      </c>
      <c r="B8" s="14">
        <v>44932</v>
      </c>
      <c r="C8" s="13" t="s">
        <v>340</v>
      </c>
      <c r="D8" s="13" t="s">
        <v>341</v>
      </c>
      <c r="E8" s="13" t="s">
        <v>337</v>
      </c>
      <c r="F8" s="15">
        <v>1</v>
      </c>
      <c r="G8" s="16">
        <v>25000000</v>
      </c>
      <c r="H8" s="1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7.399999999999999" thickBot="1">
      <c r="A9" s="13" t="s">
        <v>359</v>
      </c>
      <c r="B9" s="14">
        <v>44933</v>
      </c>
      <c r="C9" s="13" t="s">
        <v>360</v>
      </c>
      <c r="D9" s="13" t="s">
        <v>345</v>
      </c>
      <c r="E9" s="13" t="s">
        <v>342</v>
      </c>
      <c r="F9" s="15">
        <v>1</v>
      </c>
      <c r="G9" s="16">
        <v>1800000</v>
      </c>
      <c r="H9" s="1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7.399999999999999" thickBot="1">
      <c r="A10" s="13" t="s">
        <v>361</v>
      </c>
      <c r="B10" s="14">
        <v>44934</v>
      </c>
      <c r="C10" s="13" t="s">
        <v>362</v>
      </c>
      <c r="D10" s="13"/>
      <c r="E10" s="13" t="s">
        <v>346</v>
      </c>
      <c r="F10" s="15">
        <v>2</v>
      </c>
      <c r="G10" s="16">
        <v>2200000</v>
      </c>
      <c r="H10" s="1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7.399999999999999" thickBot="1">
      <c r="A11" s="13" t="s">
        <v>363</v>
      </c>
      <c r="B11" s="14">
        <v>44934</v>
      </c>
      <c r="C11" s="13" t="s">
        <v>364</v>
      </c>
      <c r="D11" s="13" t="s">
        <v>341</v>
      </c>
      <c r="E11" s="13" t="s">
        <v>350</v>
      </c>
      <c r="F11" s="15">
        <v>1</v>
      </c>
      <c r="G11" s="16">
        <v>6500000</v>
      </c>
      <c r="H11" s="1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7.399999999999999" thickBot="1">
      <c r="A12" s="13" t="s">
        <v>365</v>
      </c>
      <c r="B12" s="14">
        <v>44935</v>
      </c>
      <c r="C12" s="13" t="s">
        <v>335</v>
      </c>
      <c r="D12" s="13" t="s">
        <v>336</v>
      </c>
      <c r="E12" s="13" t="s">
        <v>353</v>
      </c>
      <c r="F12" s="15">
        <v>1</v>
      </c>
      <c r="G12" s="16">
        <v>2500000</v>
      </c>
      <c r="H12" s="13" t="s">
        <v>366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7.399999999999999" thickBot="1">
      <c r="A13" s="13" t="s">
        <v>367</v>
      </c>
      <c r="B13" s="14">
        <v>44936</v>
      </c>
      <c r="C13" s="13" t="s">
        <v>340</v>
      </c>
      <c r="D13" s="13" t="s">
        <v>341</v>
      </c>
      <c r="E13" s="13" t="s">
        <v>357</v>
      </c>
      <c r="F13" s="15"/>
      <c r="G13" s="16">
        <v>7500000</v>
      </c>
      <c r="H13" s="1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7.399999999999999" thickBot="1">
      <c r="A14" s="13" t="s">
        <v>368</v>
      </c>
      <c r="B14" s="14">
        <v>44937</v>
      </c>
      <c r="C14" s="13" t="s">
        <v>360</v>
      </c>
      <c r="D14" s="13" t="s">
        <v>345</v>
      </c>
      <c r="E14" s="13" t="s">
        <v>337</v>
      </c>
      <c r="F14" s="15">
        <v>1</v>
      </c>
      <c r="G14" s="16">
        <v>25000000</v>
      </c>
      <c r="H14" s="1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7.399999999999999" thickBot="1">
      <c r="A15" s="13" t="s">
        <v>369</v>
      </c>
      <c r="B15" s="14">
        <v>44938</v>
      </c>
      <c r="C15" s="13" t="s">
        <v>362</v>
      </c>
      <c r="D15" s="13"/>
      <c r="E15" s="13" t="s">
        <v>370</v>
      </c>
      <c r="F15" s="15">
        <v>1</v>
      </c>
      <c r="G15" s="16">
        <v>1800000</v>
      </c>
      <c r="H15" s="1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7.399999999999999" thickBot="1">
      <c r="A16" s="13" t="s">
        <v>371</v>
      </c>
      <c r="B16" s="14">
        <v>44938</v>
      </c>
      <c r="C16" s="13" t="s">
        <v>352</v>
      </c>
      <c r="D16" s="13" t="s">
        <v>341</v>
      </c>
      <c r="E16" s="13" t="s">
        <v>346</v>
      </c>
      <c r="F16" s="15">
        <v>1</v>
      </c>
      <c r="G16" s="16">
        <v>2200000</v>
      </c>
      <c r="H16" s="13" t="s">
        <v>372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399999999999999" thickBot="1">
      <c r="A17" s="13" t="s">
        <v>373</v>
      </c>
      <c r="B17" s="14" t="s">
        <v>267</v>
      </c>
      <c r="C17" s="13" t="s">
        <v>374</v>
      </c>
      <c r="D17" s="13" t="s">
        <v>336</v>
      </c>
      <c r="E17" s="13" t="s">
        <v>350</v>
      </c>
      <c r="F17" s="15">
        <v>2</v>
      </c>
      <c r="G17" s="16">
        <v>6500000</v>
      </c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399999999999999" thickBot="1">
      <c r="A18" s="13" t="s">
        <v>375</v>
      </c>
      <c r="B18" s="14" t="s">
        <v>268</v>
      </c>
      <c r="C18" s="13" t="s">
        <v>376</v>
      </c>
      <c r="D18" s="13" t="s">
        <v>341</v>
      </c>
      <c r="E18" s="13" t="s">
        <v>353</v>
      </c>
      <c r="F18" s="15">
        <v>1</v>
      </c>
      <c r="G18" s="16">
        <v>2500000</v>
      </c>
      <c r="H18" s="1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399999999999999" thickBot="1">
      <c r="A19" s="13" t="s">
        <v>377</v>
      </c>
      <c r="B19" s="14" t="s">
        <v>269</v>
      </c>
      <c r="C19" s="13" t="s">
        <v>360</v>
      </c>
      <c r="D19" s="13" t="s">
        <v>345</v>
      </c>
      <c r="E19" s="13" t="s">
        <v>357</v>
      </c>
      <c r="F19" s="15">
        <v>1</v>
      </c>
      <c r="G19" s="16">
        <v>7500000</v>
      </c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399999999999999" thickBot="1">
      <c r="A20" s="13" t="s">
        <v>378</v>
      </c>
      <c r="B20" s="14" t="s">
        <v>269</v>
      </c>
      <c r="C20" s="13" t="s">
        <v>362</v>
      </c>
      <c r="D20" s="13"/>
      <c r="E20" s="13" t="s">
        <v>379</v>
      </c>
      <c r="F20" s="15">
        <v>1</v>
      </c>
      <c r="G20" s="16">
        <v>25000000</v>
      </c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399999999999999" thickBot="1">
      <c r="A21" s="13" t="s">
        <v>380</v>
      </c>
      <c r="B21" s="14" t="s">
        <v>270</v>
      </c>
      <c r="C21" s="13" t="s">
        <v>352</v>
      </c>
      <c r="D21" s="13" t="s">
        <v>341</v>
      </c>
      <c r="E21" s="13" t="s">
        <v>342</v>
      </c>
      <c r="F21" s="15">
        <v>3</v>
      </c>
      <c r="G21" s="16">
        <v>1800000</v>
      </c>
      <c r="H21" s="1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399999999999999" thickBot="1">
      <c r="A22" s="13" t="s">
        <v>381</v>
      </c>
      <c r="B22" s="14" t="s">
        <v>271</v>
      </c>
      <c r="C22" s="13" t="s">
        <v>335</v>
      </c>
      <c r="D22" s="13" t="s">
        <v>336</v>
      </c>
      <c r="E22" s="13" t="s">
        <v>346</v>
      </c>
      <c r="F22" s="15">
        <v>1</v>
      </c>
      <c r="G22" s="16">
        <v>2200000</v>
      </c>
      <c r="H22" s="1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399999999999999" thickBot="1">
      <c r="A23" s="13" t="s">
        <v>382</v>
      </c>
      <c r="B23" s="14" t="s">
        <v>272</v>
      </c>
      <c r="C23" s="13" t="s">
        <v>340</v>
      </c>
      <c r="D23" s="13" t="s">
        <v>341</v>
      </c>
      <c r="E23" s="13" t="s">
        <v>350</v>
      </c>
      <c r="F23" s="15">
        <v>1</v>
      </c>
      <c r="G23" s="16">
        <v>6500000</v>
      </c>
      <c r="H23" s="13" t="s">
        <v>383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399999999999999" thickBot="1">
      <c r="A24" s="13" t="s">
        <v>384</v>
      </c>
      <c r="B24" s="14" t="s">
        <v>272</v>
      </c>
      <c r="C24" s="13" t="s">
        <v>344</v>
      </c>
      <c r="D24" s="13" t="s">
        <v>345</v>
      </c>
      <c r="E24" s="13" t="s">
        <v>353</v>
      </c>
      <c r="F24" s="15">
        <v>2</v>
      </c>
      <c r="G24" s="16">
        <v>2500000</v>
      </c>
      <c r="H24" s="1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399999999999999" thickBot="1">
      <c r="A25" s="13" t="s">
        <v>385</v>
      </c>
      <c r="B25" s="14" t="s">
        <v>273</v>
      </c>
      <c r="C25" s="13" t="s">
        <v>349</v>
      </c>
      <c r="D25" s="13"/>
      <c r="E25" s="13" t="s">
        <v>357</v>
      </c>
      <c r="F25" s="15">
        <v>1</v>
      </c>
      <c r="G25" s="16">
        <v>7500000</v>
      </c>
      <c r="H25" s="1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399999999999999" thickBot="1">
      <c r="A26" s="13" t="s">
        <v>386</v>
      </c>
      <c r="B26" s="14" t="s">
        <v>274</v>
      </c>
      <c r="C26" s="13" t="s">
        <v>352</v>
      </c>
      <c r="D26" s="13" t="s">
        <v>341</v>
      </c>
      <c r="E26" s="13" t="s">
        <v>337</v>
      </c>
      <c r="F26" s="15">
        <v>1</v>
      </c>
      <c r="G26" s="16">
        <v>25000000</v>
      </c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399999999999999" thickBot="1">
      <c r="A27" s="13" t="s">
        <v>387</v>
      </c>
      <c r="B27" s="14" t="s">
        <v>275</v>
      </c>
      <c r="C27" s="13" t="s">
        <v>356</v>
      </c>
      <c r="D27" s="13" t="s">
        <v>388</v>
      </c>
      <c r="E27" s="13" t="s">
        <v>342</v>
      </c>
      <c r="F27" s="15">
        <v>1</v>
      </c>
      <c r="G27" s="16">
        <v>1800000</v>
      </c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399999999999999" thickBot="1">
      <c r="A28" s="13" t="s">
        <v>389</v>
      </c>
      <c r="B28" s="14" t="s">
        <v>276</v>
      </c>
      <c r="C28" s="13" t="s">
        <v>340</v>
      </c>
      <c r="D28" s="13" t="s">
        <v>341</v>
      </c>
      <c r="E28" s="13" t="s">
        <v>346</v>
      </c>
      <c r="F28" s="15">
        <v>1</v>
      </c>
      <c r="G28" s="16">
        <v>2200000</v>
      </c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399999999999999" thickBot="1">
      <c r="A29" s="13" t="s">
        <v>390</v>
      </c>
      <c r="B29" s="14" t="s">
        <v>277</v>
      </c>
      <c r="C29" s="13" t="s">
        <v>360</v>
      </c>
      <c r="D29" s="13" t="s">
        <v>345</v>
      </c>
      <c r="E29" s="13" t="s">
        <v>350</v>
      </c>
      <c r="F29" s="15">
        <v>1</v>
      </c>
      <c r="G29" s="16">
        <v>6500000</v>
      </c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399999999999999" thickBot="1">
      <c r="A30" s="13" t="s">
        <v>391</v>
      </c>
      <c r="B30" s="14" t="s">
        <v>277</v>
      </c>
      <c r="C30" s="13" t="s">
        <v>362</v>
      </c>
      <c r="D30" s="13"/>
      <c r="E30" s="13" t="s">
        <v>353</v>
      </c>
      <c r="F30" s="15">
        <v>4</v>
      </c>
      <c r="G30" s="16">
        <v>2500000</v>
      </c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399999999999999" thickBot="1">
      <c r="A31" s="13" t="s">
        <v>392</v>
      </c>
      <c r="B31" s="14" t="s">
        <v>278</v>
      </c>
      <c r="C31" s="13" t="s">
        <v>364</v>
      </c>
      <c r="D31" s="13" t="s">
        <v>341</v>
      </c>
      <c r="E31" s="13" t="s">
        <v>357</v>
      </c>
      <c r="F31" s="15">
        <v>1</v>
      </c>
      <c r="G31" s="16">
        <v>7500000</v>
      </c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399999999999999" thickBot="1">
      <c r="A32" s="13" t="s">
        <v>393</v>
      </c>
      <c r="B32" s="14">
        <v>44958</v>
      </c>
      <c r="C32" s="13" t="s">
        <v>374</v>
      </c>
      <c r="D32" s="13" t="s">
        <v>336</v>
      </c>
      <c r="E32" s="13" t="s">
        <v>394</v>
      </c>
      <c r="F32" s="15">
        <v>2</v>
      </c>
      <c r="G32" s="16">
        <v>2100000</v>
      </c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7.399999999999999" thickBot="1">
      <c r="A33" s="13" t="s">
        <v>395</v>
      </c>
      <c r="B33" s="14">
        <v>44959</v>
      </c>
      <c r="C33" s="13" t="s">
        <v>340</v>
      </c>
      <c r="D33" s="13" t="s">
        <v>341</v>
      </c>
      <c r="E33" s="13" t="s">
        <v>396</v>
      </c>
      <c r="F33" s="15">
        <v>3</v>
      </c>
      <c r="G33" s="16">
        <v>450</v>
      </c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7.399999999999999" thickBot="1">
      <c r="A34" s="13" t="s">
        <v>397</v>
      </c>
      <c r="B34" s="14">
        <v>44959</v>
      </c>
      <c r="C34" s="13" t="s">
        <v>360</v>
      </c>
      <c r="D34" s="13" t="s">
        <v>345</v>
      </c>
      <c r="E34" s="13" t="s">
        <v>337</v>
      </c>
      <c r="F34" s="15">
        <v>1</v>
      </c>
      <c r="G34" s="16">
        <v>25000000</v>
      </c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200000000000003" thickBot="1">
      <c r="A35" s="13" t="s">
        <v>398</v>
      </c>
      <c r="B35" s="14">
        <v>44960</v>
      </c>
      <c r="C35" s="13" t="s">
        <v>362</v>
      </c>
      <c r="D35" s="13"/>
      <c r="E35" s="13" t="s">
        <v>342</v>
      </c>
      <c r="F35" s="15">
        <v>1</v>
      </c>
      <c r="G35" s="16">
        <v>1800000</v>
      </c>
      <c r="H35" s="13" t="s">
        <v>354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7.399999999999999" thickBot="1">
      <c r="A36" s="13" t="s">
        <v>399</v>
      </c>
      <c r="B36" s="14">
        <v>44961</v>
      </c>
      <c r="C36" s="13" t="s">
        <v>352</v>
      </c>
      <c r="D36" s="13" t="s">
        <v>341</v>
      </c>
      <c r="E36" s="13" t="s">
        <v>346</v>
      </c>
      <c r="F36" s="15">
        <v>1</v>
      </c>
      <c r="G36" s="16">
        <v>2200000</v>
      </c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7.399999999999999" thickBot="1">
      <c r="A37" s="13" t="s">
        <v>400</v>
      </c>
      <c r="B37" s="14">
        <v>44962</v>
      </c>
      <c r="C37" s="13" t="s">
        <v>335</v>
      </c>
      <c r="D37" s="13" t="s">
        <v>336</v>
      </c>
      <c r="E37" s="13" t="s">
        <v>401</v>
      </c>
      <c r="F37" s="15">
        <v>1</v>
      </c>
      <c r="G37" s="16">
        <v>6500000</v>
      </c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7.399999999999999" thickBot="1">
      <c r="A38" s="13" t="s">
        <v>402</v>
      </c>
      <c r="B38" s="14">
        <v>44962</v>
      </c>
      <c r="C38" s="13" t="s">
        <v>340</v>
      </c>
      <c r="D38" s="13" t="s">
        <v>341</v>
      </c>
      <c r="E38" s="13" t="s">
        <v>353</v>
      </c>
      <c r="F38" s="15">
        <v>2</v>
      </c>
      <c r="G38" s="16">
        <v>2500000</v>
      </c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7.399999999999999" thickBot="1">
      <c r="A39" s="13" t="s">
        <v>403</v>
      </c>
      <c r="B39" s="14">
        <v>44963</v>
      </c>
      <c r="C39" s="13" t="s">
        <v>344</v>
      </c>
      <c r="D39" s="13" t="s">
        <v>345</v>
      </c>
      <c r="E39" s="13" t="s">
        <v>357</v>
      </c>
      <c r="F39" s="15">
        <v>1</v>
      </c>
      <c r="G39" s="16">
        <v>7500000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7.399999999999999" thickBot="1">
      <c r="A40" s="13" t="s">
        <v>404</v>
      </c>
      <c r="B40" s="14">
        <v>44964</v>
      </c>
      <c r="C40" s="13" t="s">
        <v>349</v>
      </c>
      <c r="D40" s="13"/>
      <c r="E40" s="13" t="s">
        <v>394</v>
      </c>
      <c r="F40" s="15">
        <v>1</v>
      </c>
      <c r="G40" s="16">
        <v>2100000</v>
      </c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7.399999999999999" thickBot="1">
      <c r="A41" s="13" t="s">
        <v>405</v>
      </c>
      <c r="B41" s="14">
        <v>44965</v>
      </c>
      <c r="C41" s="13" t="s">
        <v>352</v>
      </c>
      <c r="D41" s="13" t="s">
        <v>341</v>
      </c>
      <c r="E41" s="13" t="s">
        <v>406</v>
      </c>
      <c r="F41" s="15">
        <v>5</v>
      </c>
      <c r="G41" s="16">
        <v>450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7.399999999999999" thickBot="1">
      <c r="A42" s="13" t="s">
        <v>407</v>
      </c>
      <c r="B42" s="14">
        <v>44965</v>
      </c>
      <c r="C42" s="13" t="s">
        <v>356</v>
      </c>
      <c r="D42" s="13" t="s">
        <v>336</v>
      </c>
      <c r="E42" s="13" t="s">
        <v>337</v>
      </c>
      <c r="F42" s="15">
        <v>1</v>
      </c>
      <c r="G42" s="16">
        <v>25000000</v>
      </c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7.399999999999999" thickBot="1">
      <c r="A43" s="13" t="s">
        <v>408</v>
      </c>
      <c r="B43" s="14">
        <v>44966</v>
      </c>
      <c r="C43" s="13" t="s">
        <v>340</v>
      </c>
      <c r="D43" s="13" t="s">
        <v>341</v>
      </c>
      <c r="E43" s="13" t="s">
        <v>342</v>
      </c>
      <c r="F43" s="15">
        <v>1</v>
      </c>
      <c r="G43" s="16">
        <v>1800000</v>
      </c>
      <c r="H43" s="13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7.399999999999999" thickBot="1">
      <c r="A44" s="13" t="s">
        <v>409</v>
      </c>
      <c r="B44" s="14">
        <v>44967</v>
      </c>
      <c r="C44" s="13" t="s">
        <v>360</v>
      </c>
      <c r="D44" s="13" t="s">
        <v>345</v>
      </c>
      <c r="E44" s="13" t="s">
        <v>346</v>
      </c>
      <c r="F44" s="15"/>
      <c r="G44" s="16">
        <v>2200000</v>
      </c>
      <c r="H44" s="13" t="s">
        <v>347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7.399999999999999" thickBot="1">
      <c r="A45" s="13"/>
      <c r="B45" s="14">
        <v>44968</v>
      </c>
      <c r="C45" s="13" t="s">
        <v>362</v>
      </c>
      <c r="D45" s="13"/>
      <c r="E45" s="13" t="s">
        <v>350</v>
      </c>
      <c r="F45" s="15">
        <v>1</v>
      </c>
      <c r="G45" s="16">
        <v>6500000</v>
      </c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7.399999999999999" thickBot="1">
      <c r="A46" s="13"/>
      <c r="B46" s="14">
        <v>44968</v>
      </c>
      <c r="C46" s="13" t="s">
        <v>364</v>
      </c>
      <c r="D46" s="13" t="s">
        <v>341</v>
      </c>
      <c r="E46" s="13" t="s">
        <v>353</v>
      </c>
      <c r="F46" s="15">
        <v>1</v>
      </c>
      <c r="G46" s="16">
        <v>2500000</v>
      </c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7.399999999999999" thickBot="1">
      <c r="A47" s="13" t="s">
        <v>410</v>
      </c>
      <c r="B47" s="14">
        <v>44969</v>
      </c>
      <c r="C47" s="13" t="s">
        <v>374</v>
      </c>
      <c r="D47" s="13" t="s">
        <v>336</v>
      </c>
      <c r="E47" s="13" t="s">
        <v>357</v>
      </c>
      <c r="F47" s="15">
        <v>1</v>
      </c>
      <c r="G47" s="16">
        <v>7500000</v>
      </c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7.399999999999999" thickBot="1">
      <c r="A48" s="13" t="s">
        <v>411</v>
      </c>
      <c r="B48" s="14" t="s">
        <v>279</v>
      </c>
      <c r="C48" s="13" t="s">
        <v>376</v>
      </c>
      <c r="D48" s="13" t="s">
        <v>341</v>
      </c>
      <c r="E48" s="13" t="s">
        <v>394</v>
      </c>
      <c r="F48" s="15">
        <v>3</v>
      </c>
      <c r="G48" s="16">
        <v>2100000</v>
      </c>
      <c r="H48" s="13" t="s">
        <v>338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7.399999999999999" thickBot="1">
      <c r="A49" s="13" t="s">
        <v>412</v>
      </c>
      <c r="B49" s="14" t="s">
        <v>280</v>
      </c>
      <c r="C49" s="13" t="s">
        <v>360</v>
      </c>
      <c r="D49" s="13" t="s">
        <v>345</v>
      </c>
      <c r="E49" s="13" t="s">
        <v>396</v>
      </c>
      <c r="F49" s="15">
        <v>2</v>
      </c>
      <c r="G49" s="16">
        <v>450</v>
      </c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7.399999999999999" thickBot="1">
      <c r="A50" s="13" t="s">
        <v>413</v>
      </c>
      <c r="B50" s="14" t="s">
        <v>281</v>
      </c>
      <c r="C50" s="13" t="s">
        <v>362</v>
      </c>
      <c r="D50" s="13"/>
      <c r="E50" s="13" t="s">
        <v>379</v>
      </c>
      <c r="F50" s="15">
        <v>1</v>
      </c>
      <c r="G50" s="16">
        <v>2100000</v>
      </c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7.399999999999999" thickBot="1">
      <c r="A51" s="13" t="s">
        <v>414</v>
      </c>
      <c r="B51" s="14" t="s">
        <v>281</v>
      </c>
      <c r="C51" s="13" t="s">
        <v>352</v>
      </c>
      <c r="D51" s="13" t="s">
        <v>341</v>
      </c>
      <c r="E51" s="13" t="s">
        <v>342</v>
      </c>
      <c r="F51" s="15">
        <v>1</v>
      </c>
      <c r="G51" s="16">
        <v>1800000</v>
      </c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7.399999999999999" thickBot="1">
      <c r="A52" s="13" t="s">
        <v>415</v>
      </c>
      <c r="B52" s="14" t="s">
        <v>282</v>
      </c>
      <c r="C52" s="13" t="s">
        <v>335</v>
      </c>
      <c r="D52" s="13" t="s">
        <v>336</v>
      </c>
      <c r="E52" s="13" t="s">
        <v>346</v>
      </c>
      <c r="F52" s="15">
        <v>1</v>
      </c>
      <c r="G52" s="16">
        <v>2200000</v>
      </c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7.399999999999999" thickBot="1">
      <c r="A53" s="13" t="s">
        <v>416</v>
      </c>
      <c r="B53" s="14" t="s">
        <v>283</v>
      </c>
      <c r="C53" s="13" t="s">
        <v>340</v>
      </c>
      <c r="D53" s="13" t="s">
        <v>341</v>
      </c>
      <c r="E53" s="13" t="s">
        <v>350</v>
      </c>
      <c r="F53" s="15"/>
      <c r="G53" s="16">
        <v>6500000</v>
      </c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7.399999999999999" thickBot="1">
      <c r="A54" s="13" t="s">
        <v>417</v>
      </c>
      <c r="B54" s="14" t="s">
        <v>284</v>
      </c>
      <c r="C54" s="13" t="s">
        <v>344</v>
      </c>
      <c r="D54" s="13" t="s">
        <v>345</v>
      </c>
      <c r="E54" s="13" t="s">
        <v>418</v>
      </c>
      <c r="F54" s="15">
        <v>1</v>
      </c>
      <c r="G54" s="16">
        <v>2500000</v>
      </c>
      <c r="H54" s="1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7.399999999999999" thickBot="1">
      <c r="A55" s="13" t="s">
        <v>419</v>
      </c>
      <c r="B55" s="14" t="s">
        <v>284</v>
      </c>
      <c r="C55" s="13" t="s">
        <v>349</v>
      </c>
      <c r="D55" s="13"/>
      <c r="E55" s="13" t="s">
        <v>357</v>
      </c>
      <c r="F55" s="15">
        <v>2</v>
      </c>
      <c r="G55" s="16">
        <v>7500000</v>
      </c>
      <c r="H55" s="13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7.399999999999999" thickBot="1">
      <c r="A56" s="13" t="s">
        <v>420</v>
      </c>
      <c r="B56" s="14" t="s">
        <v>285</v>
      </c>
      <c r="C56" s="13" t="s">
        <v>352</v>
      </c>
      <c r="D56" s="13" t="s">
        <v>341</v>
      </c>
      <c r="E56" s="13" t="s">
        <v>394</v>
      </c>
      <c r="F56" s="15">
        <v>1</v>
      </c>
      <c r="G56" s="16">
        <v>2100000</v>
      </c>
      <c r="H56" s="1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7.399999999999999" thickBot="1">
      <c r="A57" s="13" t="s">
        <v>421</v>
      </c>
      <c r="B57" s="14" t="s">
        <v>286</v>
      </c>
      <c r="C57" s="13" t="s">
        <v>356</v>
      </c>
      <c r="D57" s="13" t="s">
        <v>336</v>
      </c>
      <c r="E57" s="13" t="s">
        <v>396</v>
      </c>
      <c r="F57" s="15">
        <v>4</v>
      </c>
      <c r="G57" s="16">
        <v>450</v>
      </c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7.399999999999999" thickBot="1">
      <c r="A58" s="13" t="s">
        <v>422</v>
      </c>
      <c r="B58" s="14" t="s">
        <v>287</v>
      </c>
      <c r="C58" s="13" t="s">
        <v>340</v>
      </c>
      <c r="D58" s="13" t="s">
        <v>341</v>
      </c>
      <c r="E58" s="13" t="s">
        <v>337</v>
      </c>
      <c r="F58" s="15">
        <v>1</v>
      </c>
      <c r="G58" s="16">
        <v>450</v>
      </c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7.399999999999999" thickBot="1">
      <c r="A59" s="13" t="s">
        <v>423</v>
      </c>
      <c r="B59" s="14" t="s">
        <v>288</v>
      </c>
      <c r="C59" s="13" t="s">
        <v>360</v>
      </c>
      <c r="D59" s="13" t="s">
        <v>345</v>
      </c>
      <c r="E59" s="13" t="s">
        <v>342</v>
      </c>
      <c r="F59" s="15">
        <v>1</v>
      </c>
      <c r="G59" s="16">
        <v>1800000</v>
      </c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7.399999999999999" thickBot="1">
      <c r="A60" s="13" t="s">
        <v>424</v>
      </c>
      <c r="B60" s="14" t="s">
        <v>289</v>
      </c>
      <c r="C60" s="13" t="s">
        <v>362</v>
      </c>
      <c r="D60" s="13"/>
      <c r="E60" s="13" t="s">
        <v>346</v>
      </c>
      <c r="F60" s="15">
        <v>1</v>
      </c>
      <c r="G60" s="16">
        <v>2200000</v>
      </c>
      <c r="H60" s="1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200000000000003" thickBot="1">
      <c r="A61" s="13" t="s">
        <v>425</v>
      </c>
      <c r="B61" s="14" t="s">
        <v>289</v>
      </c>
      <c r="C61" s="13" t="s">
        <v>364</v>
      </c>
      <c r="D61" s="13" t="s">
        <v>341</v>
      </c>
      <c r="E61" s="13" t="s">
        <v>350</v>
      </c>
      <c r="F61" s="15">
        <v>2</v>
      </c>
      <c r="G61" s="16">
        <v>6500000</v>
      </c>
      <c r="H61" s="13" t="s">
        <v>354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7.399999999999999" thickBot="1">
      <c r="A62" s="13" t="s">
        <v>426</v>
      </c>
      <c r="B62" s="14" t="s">
        <v>290</v>
      </c>
      <c r="C62" s="13" t="s">
        <v>374</v>
      </c>
      <c r="D62" s="13" t="s">
        <v>336</v>
      </c>
      <c r="E62" s="13" t="s">
        <v>353</v>
      </c>
      <c r="F62" s="15">
        <v>1</v>
      </c>
      <c r="G62" s="16">
        <v>2500000</v>
      </c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7.399999999999999" thickBot="1">
      <c r="A63" s="13" t="s">
        <v>427</v>
      </c>
      <c r="B63" s="14" t="s">
        <v>291</v>
      </c>
      <c r="C63" s="13" t="s">
        <v>340</v>
      </c>
      <c r="D63" s="13" t="s">
        <v>341</v>
      </c>
      <c r="E63" s="13" t="s">
        <v>428</v>
      </c>
      <c r="F63" s="15">
        <v>1</v>
      </c>
      <c r="G63" s="16">
        <v>7500000</v>
      </c>
      <c r="H63" s="13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7.399999999999999" thickBot="1">
      <c r="A64" s="13" t="s">
        <v>429</v>
      </c>
      <c r="B64" s="14" t="s">
        <v>292</v>
      </c>
      <c r="C64" s="13" t="s">
        <v>360</v>
      </c>
      <c r="D64" s="13" t="s">
        <v>345</v>
      </c>
      <c r="E64" s="13" t="s">
        <v>394</v>
      </c>
      <c r="F64" s="15">
        <v>1</v>
      </c>
      <c r="G64" s="16">
        <v>2100000</v>
      </c>
      <c r="H64" s="13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7.399999999999999" thickBot="1">
      <c r="A65" s="13" t="s">
        <v>430</v>
      </c>
      <c r="B65" s="14" t="s">
        <v>293</v>
      </c>
      <c r="C65" s="13" t="s">
        <v>362</v>
      </c>
      <c r="D65" s="13"/>
      <c r="E65" s="13" t="s">
        <v>396</v>
      </c>
      <c r="F65" s="15">
        <v>2</v>
      </c>
      <c r="G65" s="16">
        <v>450</v>
      </c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7.399999999999999" thickBot="1">
      <c r="A66" s="13" t="s">
        <v>431</v>
      </c>
      <c r="B66" s="14" t="s">
        <v>294</v>
      </c>
      <c r="C66" s="13" t="s">
        <v>352</v>
      </c>
      <c r="D66" s="13" t="s">
        <v>341</v>
      </c>
      <c r="E66" s="13" t="s">
        <v>337</v>
      </c>
      <c r="F66" s="15">
        <v>1</v>
      </c>
      <c r="G66" s="16">
        <v>25000000</v>
      </c>
      <c r="H66" s="13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7.399999999999999" thickBot="1">
      <c r="A67" s="13" t="s">
        <v>432</v>
      </c>
      <c r="B67" s="14">
        <v>44986</v>
      </c>
      <c r="C67" s="13" t="s">
        <v>335</v>
      </c>
      <c r="D67" s="13" t="s">
        <v>388</v>
      </c>
      <c r="E67" s="13" t="s">
        <v>342</v>
      </c>
      <c r="F67" s="15">
        <v>2</v>
      </c>
      <c r="G67" s="16">
        <v>1800000</v>
      </c>
      <c r="H67" s="1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7.399999999999999" thickBot="1">
      <c r="A68" s="13" t="s">
        <v>433</v>
      </c>
      <c r="B68" s="14">
        <v>44987</v>
      </c>
      <c r="C68" s="13" t="s">
        <v>340</v>
      </c>
      <c r="D68" s="13" t="s">
        <v>341</v>
      </c>
      <c r="E68" s="13" t="s">
        <v>346</v>
      </c>
      <c r="F68" s="15">
        <v>1</v>
      </c>
      <c r="G68" s="16">
        <v>2200000</v>
      </c>
      <c r="H68" s="13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7.399999999999999" thickBot="1">
      <c r="A69" s="13" t="s">
        <v>434</v>
      </c>
      <c r="B69" s="14">
        <v>44987</v>
      </c>
      <c r="C69" s="13" t="s">
        <v>344</v>
      </c>
      <c r="D69" s="13" t="s">
        <v>345</v>
      </c>
      <c r="E69" s="13" t="s">
        <v>350</v>
      </c>
      <c r="F69" s="15">
        <v>1</v>
      </c>
      <c r="G69" s="16">
        <v>6500000</v>
      </c>
      <c r="H69" s="1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7.399999999999999" thickBot="1">
      <c r="A70" s="13" t="s">
        <v>435</v>
      </c>
      <c r="B70" s="14">
        <v>44988</v>
      </c>
      <c r="C70" s="13" t="s">
        <v>349</v>
      </c>
      <c r="D70" s="13"/>
      <c r="E70" s="13" t="s">
        <v>353</v>
      </c>
      <c r="F70" s="15">
        <v>3</v>
      </c>
      <c r="G70" s="16">
        <v>2500000</v>
      </c>
      <c r="H70" s="1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7.399999999999999" thickBot="1">
      <c r="A71" s="13" t="s">
        <v>436</v>
      </c>
      <c r="B71" s="14">
        <v>44989</v>
      </c>
      <c r="C71" s="13" t="s">
        <v>352</v>
      </c>
      <c r="D71" s="13" t="s">
        <v>341</v>
      </c>
      <c r="E71" s="13" t="s">
        <v>357</v>
      </c>
      <c r="F71" s="15">
        <v>1</v>
      </c>
      <c r="G71" s="16">
        <v>7500000</v>
      </c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7.399999999999999" thickBot="1">
      <c r="A72" s="13" t="s">
        <v>437</v>
      </c>
      <c r="B72" s="14">
        <v>44990</v>
      </c>
      <c r="C72" s="13" t="s">
        <v>356</v>
      </c>
      <c r="D72" s="13" t="s">
        <v>336</v>
      </c>
      <c r="E72" s="13" t="s">
        <v>394</v>
      </c>
      <c r="F72" s="15">
        <v>1</v>
      </c>
      <c r="G72" s="16">
        <v>2100000</v>
      </c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7.399999999999999" thickBot="1">
      <c r="A73" s="13" t="s">
        <v>438</v>
      </c>
      <c r="B73" s="14">
        <v>44990</v>
      </c>
      <c r="C73" s="13" t="s">
        <v>340</v>
      </c>
      <c r="D73" s="13" t="s">
        <v>341</v>
      </c>
      <c r="E73" s="13" t="s">
        <v>396</v>
      </c>
      <c r="F73" s="15">
        <v>3</v>
      </c>
      <c r="G73" s="16">
        <v>450</v>
      </c>
      <c r="H73" s="1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7.399999999999999" thickBot="1">
      <c r="A74" s="13" t="s">
        <v>439</v>
      </c>
      <c r="B74" s="14">
        <v>44991</v>
      </c>
      <c r="C74" s="13" t="s">
        <v>360</v>
      </c>
      <c r="D74" s="13" t="s">
        <v>345</v>
      </c>
      <c r="E74" s="13" t="s">
        <v>379</v>
      </c>
      <c r="F74" s="15">
        <v>1</v>
      </c>
      <c r="G74" s="16">
        <v>25000000</v>
      </c>
      <c r="H74" s="13" t="s">
        <v>347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7.399999999999999" thickBot="1">
      <c r="A75" s="13" t="s">
        <v>440</v>
      </c>
      <c r="B75" s="14">
        <v>44992</v>
      </c>
      <c r="C75" s="13" t="s">
        <v>362</v>
      </c>
      <c r="D75" s="13"/>
      <c r="E75" s="13" t="s">
        <v>342</v>
      </c>
      <c r="F75" s="15"/>
      <c r="G75" s="16">
        <v>1800000</v>
      </c>
      <c r="H75" s="13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7.399999999999999" thickBot="1">
      <c r="A76" s="13" t="s">
        <v>441</v>
      </c>
      <c r="B76" s="14">
        <v>44993</v>
      </c>
      <c r="C76" s="13" t="s">
        <v>364</v>
      </c>
      <c r="D76" s="13" t="s">
        <v>341</v>
      </c>
      <c r="E76" s="13" t="s">
        <v>346</v>
      </c>
      <c r="F76" s="15">
        <v>2</v>
      </c>
      <c r="G76" s="16">
        <v>2200000</v>
      </c>
      <c r="H76" s="1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7.399999999999999" thickBot="1">
      <c r="A77" s="13" t="s">
        <v>442</v>
      </c>
      <c r="B77" s="14">
        <v>44993</v>
      </c>
      <c r="C77" s="13" t="s">
        <v>374</v>
      </c>
      <c r="D77" s="13" t="s">
        <v>336</v>
      </c>
      <c r="E77" s="13" t="s">
        <v>350</v>
      </c>
      <c r="F77" s="15">
        <v>1</v>
      </c>
      <c r="G77" s="16">
        <v>6500000</v>
      </c>
      <c r="H77" s="13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7.399999999999999" thickBot="1">
      <c r="A78" s="13" t="s">
        <v>443</v>
      </c>
      <c r="B78" s="14">
        <v>44994</v>
      </c>
      <c r="C78" s="13" t="s">
        <v>340</v>
      </c>
      <c r="D78" s="13" t="s">
        <v>341</v>
      </c>
      <c r="E78" s="13" t="s">
        <v>353</v>
      </c>
      <c r="F78" s="15">
        <v>1</v>
      </c>
      <c r="G78" s="16">
        <v>2500000</v>
      </c>
      <c r="H78" s="13" t="s">
        <v>372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7.399999999999999" thickBot="1">
      <c r="A79" s="13" t="s">
        <v>444</v>
      </c>
      <c r="B79" s="14">
        <v>44995</v>
      </c>
      <c r="C79" s="13" t="s">
        <v>360</v>
      </c>
      <c r="D79" s="13" t="s">
        <v>345</v>
      </c>
      <c r="E79" s="13" t="s">
        <v>357</v>
      </c>
      <c r="F79" s="15">
        <v>1</v>
      </c>
      <c r="G79" s="16">
        <v>7500000</v>
      </c>
      <c r="H79" s="1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7.399999999999999" thickBot="1">
      <c r="A80" s="13" t="s">
        <v>445</v>
      </c>
      <c r="B80" s="14">
        <v>44996</v>
      </c>
      <c r="C80" s="13" t="s">
        <v>362</v>
      </c>
      <c r="D80" s="13"/>
      <c r="E80" s="13" t="s">
        <v>394</v>
      </c>
      <c r="F80" s="15">
        <v>2</v>
      </c>
      <c r="G80" s="16">
        <v>2100000</v>
      </c>
      <c r="H80" s="13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7.399999999999999" thickBot="1">
      <c r="A81" s="13" t="s">
        <v>446</v>
      </c>
      <c r="B81" s="14">
        <v>44996</v>
      </c>
      <c r="C81" s="13" t="s">
        <v>352</v>
      </c>
      <c r="D81" s="13" t="s">
        <v>341</v>
      </c>
      <c r="E81" s="13" t="s">
        <v>379</v>
      </c>
      <c r="F81" s="15">
        <v>1</v>
      </c>
      <c r="G81" s="16">
        <v>7500000</v>
      </c>
      <c r="H81" s="13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7.399999999999999" thickBot="1">
      <c r="A82" s="13" t="s">
        <v>447</v>
      </c>
      <c r="B82" s="14">
        <v>44997</v>
      </c>
      <c r="C82" s="13" t="s">
        <v>335</v>
      </c>
      <c r="D82" s="13" t="s">
        <v>336</v>
      </c>
      <c r="E82" s="13" t="s">
        <v>337</v>
      </c>
      <c r="F82" s="15">
        <v>1</v>
      </c>
      <c r="G82" s="16">
        <v>25000000</v>
      </c>
      <c r="H82" s="13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7.399999999999999" thickBot="1">
      <c r="A83" s="13" t="s">
        <v>448</v>
      </c>
      <c r="B83" s="14" t="s">
        <v>295</v>
      </c>
      <c r="C83" s="13" t="s">
        <v>376</v>
      </c>
      <c r="D83" s="13" t="s">
        <v>341</v>
      </c>
      <c r="E83" s="13" t="s">
        <v>370</v>
      </c>
      <c r="F83" s="15">
        <v>1</v>
      </c>
      <c r="G83" s="16">
        <v>1800000</v>
      </c>
      <c r="H83" s="13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7.399999999999999" thickBot="1">
      <c r="A84" s="13" t="s">
        <v>449</v>
      </c>
      <c r="B84" s="14" t="s">
        <v>296</v>
      </c>
      <c r="C84" s="13" t="s">
        <v>360</v>
      </c>
      <c r="D84" s="13" t="s">
        <v>345</v>
      </c>
      <c r="E84" s="13" t="s">
        <v>346</v>
      </c>
      <c r="F84" s="15">
        <v>1</v>
      </c>
      <c r="G84" s="16">
        <v>2200000</v>
      </c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7.399999999999999" thickBot="1">
      <c r="A85" s="13" t="s">
        <v>450</v>
      </c>
      <c r="B85" s="14" t="s">
        <v>297</v>
      </c>
      <c r="C85" s="13" t="s">
        <v>362</v>
      </c>
      <c r="D85" s="13"/>
      <c r="E85" s="13" t="s">
        <v>350</v>
      </c>
      <c r="F85" s="15">
        <v>1</v>
      </c>
      <c r="G85" s="16">
        <v>6500000</v>
      </c>
      <c r="H85" s="13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200000000000003" thickBot="1">
      <c r="A86" s="13" t="s">
        <v>451</v>
      </c>
      <c r="B86" s="14" t="s">
        <v>297</v>
      </c>
      <c r="C86" s="13" t="s">
        <v>352</v>
      </c>
      <c r="D86" s="13" t="s">
        <v>341</v>
      </c>
      <c r="E86" s="13" t="s">
        <v>353</v>
      </c>
      <c r="F86" s="15">
        <v>5</v>
      </c>
      <c r="G86" s="16">
        <v>2500000</v>
      </c>
      <c r="H86" s="13" t="s">
        <v>354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7.399999999999999" thickBot="1">
      <c r="A87" s="13" t="s">
        <v>452</v>
      </c>
      <c r="B87" s="14" t="s">
        <v>298</v>
      </c>
      <c r="C87" s="13" t="s">
        <v>356</v>
      </c>
      <c r="D87" s="13" t="s">
        <v>336</v>
      </c>
      <c r="E87" s="13" t="s">
        <v>357</v>
      </c>
      <c r="F87" s="15">
        <v>1</v>
      </c>
      <c r="G87" s="16">
        <v>7500000</v>
      </c>
      <c r="H87" s="13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7.399999999999999" thickBot="1">
      <c r="A88" s="13" t="s">
        <v>453</v>
      </c>
      <c r="B88" s="14" t="s">
        <v>299</v>
      </c>
      <c r="C88" s="13" t="s">
        <v>340</v>
      </c>
      <c r="D88" s="13" t="s">
        <v>341</v>
      </c>
      <c r="E88" s="13" t="s">
        <v>394</v>
      </c>
      <c r="F88" s="15">
        <v>1</v>
      </c>
      <c r="G88" s="16">
        <v>2100000</v>
      </c>
      <c r="H88" s="13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7.399999999999999" thickBot="1">
      <c r="A89" s="13" t="s">
        <v>454</v>
      </c>
      <c r="B89" s="14" t="s">
        <v>300</v>
      </c>
      <c r="C89" s="13" t="s">
        <v>344</v>
      </c>
      <c r="D89" s="13" t="s">
        <v>345</v>
      </c>
      <c r="E89" s="13" t="s">
        <v>396</v>
      </c>
      <c r="F89" s="15">
        <v>2</v>
      </c>
      <c r="G89" s="16">
        <v>450</v>
      </c>
      <c r="H89" s="13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7.399999999999999" thickBot="1">
      <c r="A90" s="13" t="s">
        <v>455</v>
      </c>
      <c r="B90" s="14" t="s">
        <v>300</v>
      </c>
      <c r="C90" s="13" t="s">
        <v>349</v>
      </c>
      <c r="D90" s="13"/>
      <c r="E90" s="13" t="s">
        <v>337</v>
      </c>
      <c r="F90" s="15">
        <v>1</v>
      </c>
      <c r="G90" s="16">
        <v>25000000</v>
      </c>
      <c r="H90" s="13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7.399999999999999" thickBot="1">
      <c r="A91" s="13" t="s">
        <v>456</v>
      </c>
      <c r="B91" s="14" t="s">
        <v>301</v>
      </c>
      <c r="C91" s="13" t="s">
        <v>352</v>
      </c>
      <c r="D91" s="13" t="s">
        <v>341</v>
      </c>
      <c r="E91" s="13" t="s">
        <v>342</v>
      </c>
      <c r="F91" s="15">
        <v>2</v>
      </c>
      <c r="G91" s="16">
        <v>1800000</v>
      </c>
      <c r="H91" s="1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7.399999999999999" thickBot="1">
      <c r="A92" s="13" t="s">
        <v>457</v>
      </c>
      <c r="B92" s="14" t="s">
        <v>302</v>
      </c>
      <c r="C92" s="13" t="s">
        <v>374</v>
      </c>
      <c r="D92" s="13" t="s">
        <v>336</v>
      </c>
      <c r="E92" s="13" t="s">
        <v>346</v>
      </c>
      <c r="F92" s="15">
        <v>1</v>
      </c>
      <c r="G92" s="16">
        <v>2200000</v>
      </c>
      <c r="H92" s="13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7.399999999999999" thickBot="1">
      <c r="A93" s="13" t="s">
        <v>458</v>
      </c>
      <c r="B93" s="14" t="s">
        <v>303</v>
      </c>
      <c r="C93" s="13" t="s">
        <v>340</v>
      </c>
      <c r="D93" s="13" t="s">
        <v>341</v>
      </c>
      <c r="E93" s="13" t="s">
        <v>350</v>
      </c>
      <c r="F93" s="15">
        <v>1</v>
      </c>
      <c r="G93" s="16">
        <v>6500000</v>
      </c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7.399999999999999" thickBot="1">
      <c r="A94" s="13" t="s">
        <v>459</v>
      </c>
      <c r="B94" s="14" t="s">
        <v>304</v>
      </c>
      <c r="C94" s="13" t="s">
        <v>360</v>
      </c>
      <c r="D94" s="13" t="s">
        <v>345</v>
      </c>
      <c r="E94" s="13" t="s">
        <v>353</v>
      </c>
      <c r="F94" s="15">
        <v>1</v>
      </c>
      <c r="G94" s="16">
        <v>2500000</v>
      </c>
      <c r="H94" s="13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7.399999999999999" thickBot="1">
      <c r="A95" s="13" t="s">
        <v>460</v>
      </c>
      <c r="B95" s="14" t="s">
        <v>305</v>
      </c>
      <c r="C95" s="13" t="s">
        <v>362</v>
      </c>
      <c r="D95" s="13"/>
      <c r="E95" s="13" t="s">
        <v>428</v>
      </c>
      <c r="F95" s="15">
        <v>1</v>
      </c>
      <c r="G95" s="16">
        <v>7500000</v>
      </c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7.399999999999999" thickBot="1">
      <c r="A96" s="13" t="s">
        <v>461</v>
      </c>
      <c r="B96" s="14" t="s">
        <v>305</v>
      </c>
      <c r="C96" s="13" t="s">
        <v>364</v>
      </c>
      <c r="D96" s="13" t="s">
        <v>341</v>
      </c>
      <c r="E96" s="13" t="s">
        <v>394</v>
      </c>
      <c r="F96" s="15">
        <v>3</v>
      </c>
      <c r="G96" s="16">
        <v>2100000</v>
      </c>
      <c r="H96" s="13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7.399999999999999" thickBot="1">
      <c r="A97" s="13" t="s">
        <v>462</v>
      </c>
      <c r="B97" s="14" t="s">
        <v>306</v>
      </c>
      <c r="C97" s="13" t="s">
        <v>335</v>
      </c>
      <c r="D97" s="13" t="s">
        <v>336</v>
      </c>
      <c r="E97" s="13" t="s">
        <v>396</v>
      </c>
      <c r="F97" s="15">
        <v>1</v>
      </c>
      <c r="G97" s="16">
        <v>450</v>
      </c>
      <c r="H97" s="13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7.399999999999999" thickBot="1">
      <c r="A98" s="13" t="s">
        <v>463</v>
      </c>
      <c r="B98" s="14" t="s">
        <v>307</v>
      </c>
      <c r="C98" s="13" t="s">
        <v>340</v>
      </c>
      <c r="D98" s="13" t="s">
        <v>341</v>
      </c>
      <c r="E98" s="13" t="s">
        <v>337</v>
      </c>
      <c r="F98" s="15">
        <v>1</v>
      </c>
      <c r="G98" s="16">
        <v>25000000</v>
      </c>
      <c r="H98" s="13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7.399999999999999" thickBot="1">
      <c r="A99" s="13" t="s">
        <v>464</v>
      </c>
      <c r="B99" s="14" t="s">
        <v>308</v>
      </c>
      <c r="C99" s="13" t="s">
        <v>344</v>
      </c>
      <c r="D99" s="13" t="s">
        <v>345</v>
      </c>
      <c r="E99" s="13" t="s">
        <v>342</v>
      </c>
      <c r="F99" s="15">
        <v>1</v>
      </c>
      <c r="G99" s="16">
        <v>1800000</v>
      </c>
      <c r="H99" s="13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7.399999999999999" thickBot="1">
      <c r="A100" s="13" t="s">
        <v>465</v>
      </c>
      <c r="B100" s="14" t="s">
        <v>309</v>
      </c>
      <c r="C100" s="13" t="s">
        <v>349</v>
      </c>
      <c r="D100" s="13"/>
      <c r="E100" s="13" t="s">
        <v>346</v>
      </c>
      <c r="F100" s="15">
        <v>2</v>
      </c>
      <c r="G100" s="16">
        <v>2200000</v>
      </c>
      <c r="H100" s="13" t="s">
        <v>366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7.399999999999999" thickBot="1">
      <c r="A101" s="13" t="s">
        <v>466</v>
      </c>
      <c r="B101" s="14" t="s">
        <v>310</v>
      </c>
      <c r="C101" s="13" t="s">
        <v>352</v>
      </c>
      <c r="D101" s="13" t="s">
        <v>341</v>
      </c>
      <c r="E101" s="13" t="s">
        <v>350</v>
      </c>
      <c r="F101" s="15">
        <v>1</v>
      </c>
      <c r="G101" s="16">
        <v>6500000</v>
      </c>
      <c r="H101" s="13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7.399999999999999" thickBot="1">
      <c r="A102" s="13" t="s">
        <v>467</v>
      </c>
      <c r="B102" s="14" t="s">
        <v>311</v>
      </c>
      <c r="C102" s="13" t="s">
        <v>356</v>
      </c>
      <c r="D102" s="13" t="s">
        <v>336</v>
      </c>
      <c r="E102" s="13" t="s">
        <v>353</v>
      </c>
      <c r="F102" s="15">
        <v>1</v>
      </c>
      <c r="G102" s="16">
        <v>2500000</v>
      </c>
      <c r="H102" s="13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7.399999999999999" thickBot="1">
      <c r="A103" s="13" t="s">
        <v>468</v>
      </c>
      <c r="B103" s="14" t="s">
        <v>312</v>
      </c>
      <c r="C103" s="13" t="s">
        <v>340</v>
      </c>
      <c r="D103" s="13" t="s">
        <v>341</v>
      </c>
      <c r="E103" s="13" t="s">
        <v>357</v>
      </c>
      <c r="F103" s="15">
        <v>1</v>
      </c>
      <c r="G103" s="16">
        <v>7500000</v>
      </c>
      <c r="H103" s="13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7.399999999999999" thickBot="1">
      <c r="A104" s="13" t="s">
        <v>469</v>
      </c>
      <c r="B104" s="14" t="s">
        <v>313</v>
      </c>
      <c r="C104" s="13" t="s">
        <v>360</v>
      </c>
      <c r="D104" s="13" t="s">
        <v>345</v>
      </c>
      <c r="E104" s="13" t="s">
        <v>394</v>
      </c>
      <c r="F104" s="15">
        <v>1</v>
      </c>
      <c r="G104" s="16">
        <v>2100000</v>
      </c>
      <c r="H104" s="13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7.399999999999999" thickBot="1">
      <c r="A105" s="13" t="s">
        <v>470</v>
      </c>
      <c r="B105" s="14">
        <v>44934</v>
      </c>
      <c r="C105" s="13" t="s">
        <v>362</v>
      </c>
      <c r="D105" s="13"/>
      <c r="E105" s="13" t="s">
        <v>396</v>
      </c>
      <c r="F105" s="15">
        <v>4</v>
      </c>
      <c r="G105" s="16">
        <v>450</v>
      </c>
      <c r="H105" s="13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7.399999999999999" thickBot="1">
      <c r="A106" s="13" t="s">
        <v>471</v>
      </c>
      <c r="B106" s="14">
        <v>44965</v>
      </c>
      <c r="C106" s="13" t="s">
        <v>364</v>
      </c>
      <c r="D106" s="13" t="s">
        <v>341</v>
      </c>
      <c r="E106" s="13" t="s">
        <v>337</v>
      </c>
      <c r="F106" s="15">
        <v>1</v>
      </c>
      <c r="G106" s="16">
        <v>25000000</v>
      </c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7.399999999999999" thickBot="1">
      <c r="A107" s="13" t="s">
        <v>472</v>
      </c>
      <c r="B107" s="14">
        <v>44993</v>
      </c>
      <c r="C107" s="13" t="s">
        <v>374</v>
      </c>
      <c r="D107" s="13" t="s">
        <v>388</v>
      </c>
      <c r="E107" s="13" t="s">
        <v>342</v>
      </c>
      <c r="F107" s="15">
        <v>1</v>
      </c>
      <c r="G107" s="16">
        <v>1800000</v>
      </c>
      <c r="H107" s="1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7.399999999999999" thickBot="1">
      <c r="A108" s="13" t="s">
        <v>473</v>
      </c>
      <c r="B108" s="14">
        <v>45024</v>
      </c>
      <c r="C108" s="13" t="s">
        <v>340</v>
      </c>
      <c r="D108" s="13" t="s">
        <v>341</v>
      </c>
      <c r="E108" s="13" t="s">
        <v>346</v>
      </c>
      <c r="F108" s="15">
        <v>1</v>
      </c>
      <c r="G108" s="16">
        <v>2200000</v>
      </c>
      <c r="H108" s="1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200000000000003" thickBot="1">
      <c r="A109" s="13" t="s">
        <v>474</v>
      </c>
      <c r="B109" s="14">
        <v>45025</v>
      </c>
      <c r="C109" s="13" t="s">
        <v>360</v>
      </c>
      <c r="D109" s="13" t="s">
        <v>345</v>
      </c>
      <c r="E109" s="13" t="s">
        <v>401</v>
      </c>
      <c r="F109" s="15">
        <v>2</v>
      </c>
      <c r="G109" s="16">
        <v>6500000</v>
      </c>
      <c r="H109" s="13" t="s">
        <v>354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7.399999999999999" thickBot="1">
      <c r="A110" s="13" t="s">
        <v>475</v>
      </c>
      <c r="B110" s="14">
        <v>45026</v>
      </c>
      <c r="C110" s="13" t="s">
        <v>362</v>
      </c>
      <c r="D110" s="13"/>
      <c r="E110" s="13" t="s">
        <v>353</v>
      </c>
      <c r="F110" s="15">
        <v>2</v>
      </c>
      <c r="G110" s="16">
        <v>2500000</v>
      </c>
      <c r="H110" s="1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7.399999999999999" thickBot="1">
      <c r="A111" s="13" t="s">
        <v>476</v>
      </c>
      <c r="B111" s="14">
        <v>45027</v>
      </c>
      <c r="C111" s="13" t="s">
        <v>352</v>
      </c>
      <c r="D111" s="13" t="s">
        <v>341</v>
      </c>
      <c r="E111" s="13" t="s">
        <v>357</v>
      </c>
      <c r="F111" s="15">
        <v>1</v>
      </c>
      <c r="G111" s="16">
        <v>7500000</v>
      </c>
      <c r="H111" s="1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7.399999999999999" thickBot="1">
      <c r="A112" s="13" t="s">
        <v>477</v>
      </c>
      <c r="B112" s="14">
        <v>45027</v>
      </c>
      <c r="C112" s="13" t="s">
        <v>335</v>
      </c>
      <c r="D112" s="13" t="s">
        <v>336</v>
      </c>
      <c r="E112" s="13" t="s">
        <v>394</v>
      </c>
      <c r="F112" s="15">
        <v>1</v>
      </c>
      <c r="G112" s="16">
        <v>2100000</v>
      </c>
      <c r="H112" s="13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7.399999999999999" thickBot="1">
      <c r="A113" s="13" t="s">
        <v>478</v>
      </c>
      <c r="B113" s="14">
        <v>45028</v>
      </c>
      <c r="C113" s="13" t="s">
        <v>376</v>
      </c>
      <c r="D113" s="13" t="s">
        <v>341</v>
      </c>
      <c r="E113" s="13" t="s">
        <v>401</v>
      </c>
      <c r="F113" s="15">
        <v>1</v>
      </c>
      <c r="G113" s="16">
        <v>25000000</v>
      </c>
      <c r="H113" s="13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7.399999999999999" thickBot="1">
      <c r="A114" s="13" t="s">
        <v>479</v>
      </c>
      <c r="B114" s="14" t="s">
        <v>314</v>
      </c>
      <c r="C114" s="13" t="s">
        <v>360</v>
      </c>
      <c r="D114" s="13" t="s">
        <v>345</v>
      </c>
      <c r="E114" s="13" t="s">
        <v>337</v>
      </c>
      <c r="F114" s="15">
        <v>1</v>
      </c>
      <c r="G114" s="16">
        <v>25000000</v>
      </c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7.399999999999999" thickBot="1">
      <c r="A115" s="13" t="s">
        <v>480</v>
      </c>
      <c r="B115" s="14" t="s">
        <v>315</v>
      </c>
      <c r="C115" s="13" t="s">
        <v>362</v>
      </c>
      <c r="D115" s="13"/>
      <c r="E115" s="13" t="s">
        <v>342</v>
      </c>
      <c r="F115" s="15"/>
      <c r="G115" s="16">
        <v>1800000</v>
      </c>
      <c r="H115" s="13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7.399999999999999" thickBot="1">
      <c r="A116" s="13" t="s">
        <v>481</v>
      </c>
      <c r="B116" s="14" t="s">
        <v>316</v>
      </c>
      <c r="C116" s="13" t="s">
        <v>352</v>
      </c>
      <c r="D116" s="13" t="s">
        <v>341</v>
      </c>
      <c r="E116" s="13" t="s">
        <v>482</v>
      </c>
      <c r="F116" s="15">
        <v>1</v>
      </c>
      <c r="G116" s="16">
        <v>2200000</v>
      </c>
      <c r="H116" s="13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7.399999999999999" thickBot="1">
      <c r="A117" s="13" t="s">
        <v>483</v>
      </c>
      <c r="B117" s="14" t="s">
        <v>316</v>
      </c>
      <c r="C117" s="13" t="s">
        <v>356</v>
      </c>
      <c r="D117" s="13" t="s">
        <v>336</v>
      </c>
      <c r="E117" s="13" t="s">
        <v>350</v>
      </c>
      <c r="F117" s="15">
        <v>1</v>
      </c>
      <c r="G117" s="16">
        <v>6500000</v>
      </c>
      <c r="H117" s="13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7.399999999999999" thickBot="1">
      <c r="A118" s="13" t="s">
        <v>484</v>
      </c>
      <c r="B118" s="14" t="s">
        <v>317</v>
      </c>
      <c r="C118" s="13" t="s">
        <v>340</v>
      </c>
      <c r="D118" s="13" t="s">
        <v>341</v>
      </c>
      <c r="E118" s="13" t="s">
        <v>353</v>
      </c>
      <c r="F118" s="15">
        <v>1</v>
      </c>
      <c r="G118" s="16">
        <v>2500000</v>
      </c>
      <c r="H118" s="13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7.399999999999999" thickBot="1">
      <c r="A119" s="13" t="s">
        <v>485</v>
      </c>
      <c r="B119" s="14" t="s">
        <v>318</v>
      </c>
      <c r="C119" s="13" t="s">
        <v>344</v>
      </c>
      <c r="D119" s="13" t="s">
        <v>345</v>
      </c>
      <c r="E119" s="13" t="s">
        <v>357</v>
      </c>
      <c r="F119" s="15">
        <v>1</v>
      </c>
      <c r="G119" s="16">
        <v>7500000</v>
      </c>
      <c r="H119" s="13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7.399999999999999" thickBot="1">
      <c r="A120" s="13" t="s">
        <v>486</v>
      </c>
      <c r="B120" s="14" t="s">
        <v>319</v>
      </c>
      <c r="C120" s="13" t="s">
        <v>349</v>
      </c>
      <c r="D120" s="13"/>
      <c r="E120" s="13" t="s">
        <v>394</v>
      </c>
      <c r="F120" s="15">
        <v>2</v>
      </c>
      <c r="G120" s="16">
        <v>2100000</v>
      </c>
      <c r="H120" s="13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7.399999999999999" thickBot="1">
      <c r="A121" s="13" t="s">
        <v>487</v>
      </c>
      <c r="B121" s="14" t="s">
        <v>319</v>
      </c>
      <c r="C121" s="13" t="s">
        <v>352</v>
      </c>
      <c r="D121" s="13" t="s">
        <v>341</v>
      </c>
      <c r="E121" s="13" t="s">
        <v>396</v>
      </c>
      <c r="F121" s="15"/>
      <c r="G121" s="16">
        <v>450</v>
      </c>
      <c r="H121" s="13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7.399999999999999" thickBot="1">
      <c r="A122" s="13" t="s">
        <v>488</v>
      </c>
      <c r="B122" s="14" t="s">
        <v>320</v>
      </c>
      <c r="C122" s="13" t="s">
        <v>374</v>
      </c>
      <c r="D122" s="13" t="s">
        <v>336</v>
      </c>
      <c r="E122" s="13" t="s">
        <v>337</v>
      </c>
      <c r="F122" s="15">
        <v>1</v>
      </c>
      <c r="G122" s="16">
        <v>25000000</v>
      </c>
      <c r="H122" s="13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7.399999999999999" thickBot="1">
      <c r="A123" s="13" t="s">
        <v>489</v>
      </c>
      <c r="B123" s="14" t="s">
        <v>321</v>
      </c>
      <c r="C123" s="13" t="s">
        <v>340</v>
      </c>
      <c r="D123" s="13" t="s">
        <v>341</v>
      </c>
      <c r="E123" s="13" t="s">
        <v>342</v>
      </c>
      <c r="F123" s="15">
        <v>1</v>
      </c>
      <c r="G123" s="16">
        <v>1800000</v>
      </c>
      <c r="H123" s="1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7.399999999999999" thickBot="1">
      <c r="A124" s="13" t="s">
        <v>490</v>
      </c>
      <c r="B124" s="14" t="s">
        <v>322</v>
      </c>
      <c r="C124" s="13" t="s">
        <v>360</v>
      </c>
      <c r="D124" s="13" t="s">
        <v>345</v>
      </c>
      <c r="E124" s="13" t="s">
        <v>346</v>
      </c>
      <c r="F124" s="15">
        <v>1</v>
      </c>
      <c r="G124" s="16">
        <v>2200000</v>
      </c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7.399999999999999" thickBot="1">
      <c r="A125" s="13" t="s">
        <v>491</v>
      </c>
      <c r="B125" s="14" t="s">
        <v>323</v>
      </c>
      <c r="C125" s="13" t="s">
        <v>362</v>
      </c>
      <c r="D125" s="13"/>
      <c r="E125" s="13" t="s">
        <v>350</v>
      </c>
      <c r="F125" s="15">
        <v>1</v>
      </c>
      <c r="G125" s="16">
        <v>6500000</v>
      </c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7.399999999999999" thickBot="1">
      <c r="A126" s="13" t="s">
        <v>492</v>
      </c>
      <c r="B126" s="14" t="s">
        <v>324</v>
      </c>
      <c r="C126" s="13" t="s">
        <v>364</v>
      </c>
      <c r="D126" s="13" t="s">
        <v>341</v>
      </c>
      <c r="E126" s="13" t="s">
        <v>342</v>
      </c>
      <c r="F126" s="15"/>
      <c r="G126" s="16">
        <v>6500000</v>
      </c>
      <c r="H126" s="1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7.399999999999999" thickBot="1">
      <c r="A127" s="13" t="s">
        <v>493</v>
      </c>
      <c r="B127" s="14" t="s">
        <v>324</v>
      </c>
      <c r="C127" s="13" t="s">
        <v>335</v>
      </c>
      <c r="D127" s="13" t="s">
        <v>336</v>
      </c>
      <c r="E127" s="13" t="s">
        <v>357</v>
      </c>
      <c r="F127" s="15">
        <v>1</v>
      </c>
      <c r="G127" s="16">
        <v>7500000</v>
      </c>
      <c r="H127" s="13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7.399999999999999" thickBot="1">
      <c r="A128" s="13" t="s">
        <v>494</v>
      </c>
      <c r="B128" s="14" t="s">
        <v>325</v>
      </c>
      <c r="C128" s="13" t="s">
        <v>340</v>
      </c>
      <c r="D128" s="13" t="s">
        <v>341</v>
      </c>
      <c r="E128" s="13" t="s">
        <v>394</v>
      </c>
      <c r="F128" s="15">
        <v>1</v>
      </c>
      <c r="G128" s="16">
        <v>2100000</v>
      </c>
      <c r="H128" s="1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7.399999999999999" thickBot="1">
      <c r="A129" s="13" t="s">
        <v>495</v>
      </c>
      <c r="B129" s="14" t="s">
        <v>326</v>
      </c>
      <c r="C129" s="13" t="s">
        <v>360</v>
      </c>
      <c r="D129" s="13" t="s">
        <v>345</v>
      </c>
      <c r="E129" s="13" t="s">
        <v>406</v>
      </c>
      <c r="F129" s="15">
        <v>5</v>
      </c>
      <c r="G129" s="16">
        <v>450</v>
      </c>
      <c r="H129" s="13" t="s">
        <v>338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7.399999999999999" thickBot="1">
      <c r="A130" s="13" t="s">
        <v>496</v>
      </c>
      <c r="B130" s="14" t="s">
        <v>327</v>
      </c>
      <c r="C130" s="13" t="s">
        <v>362</v>
      </c>
      <c r="D130" s="13"/>
      <c r="E130" s="13" t="s">
        <v>337</v>
      </c>
      <c r="F130" s="15">
        <v>1</v>
      </c>
      <c r="G130" s="16">
        <v>25000000</v>
      </c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7.399999999999999" thickBot="1">
      <c r="A131" s="13" t="s">
        <v>497</v>
      </c>
      <c r="B131" s="14" t="s">
        <v>328</v>
      </c>
      <c r="C131" s="13" t="s">
        <v>352</v>
      </c>
      <c r="D131" s="13" t="s">
        <v>341</v>
      </c>
      <c r="E131" s="13" t="s">
        <v>342</v>
      </c>
      <c r="F131" s="15">
        <v>1</v>
      </c>
      <c r="G131" s="16">
        <v>1800000</v>
      </c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7.399999999999999" thickBot="1">
      <c r="A132" s="13" t="s">
        <v>498</v>
      </c>
      <c r="B132" s="14" t="s">
        <v>329</v>
      </c>
      <c r="C132" s="13" t="s">
        <v>356</v>
      </c>
      <c r="D132" s="13" t="s">
        <v>336</v>
      </c>
      <c r="E132" s="13" t="s">
        <v>346</v>
      </c>
      <c r="F132" s="15">
        <v>2</v>
      </c>
      <c r="G132" s="16">
        <v>2200000</v>
      </c>
      <c r="H132" s="13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7.399999999999999" thickBot="1">
      <c r="A133" s="13" t="s">
        <v>499</v>
      </c>
      <c r="B133" s="14" t="s">
        <v>330</v>
      </c>
      <c r="C133" s="13" t="s">
        <v>340</v>
      </c>
      <c r="D133" s="13" t="s">
        <v>341</v>
      </c>
      <c r="E133" s="13" t="s">
        <v>342</v>
      </c>
      <c r="F133" s="15">
        <v>1</v>
      </c>
      <c r="G133" s="16">
        <v>1800000</v>
      </c>
      <c r="H133" s="13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7.399999999999999" thickBot="1">
      <c r="A134" s="13" t="s">
        <v>500</v>
      </c>
      <c r="B134" s="14" t="s">
        <v>331</v>
      </c>
      <c r="C134" s="13" t="s">
        <v>344</v>
      </c>
      <c r="D134" s="13" t="s">
        <v>345</v>
      </c>
      <c r="E134" s="13" t="s">
        <v>353</v>
      </c>
      <c r="F134" s="15">
        <v>1</v>
      </c>
      <c r="G134" s="16">
        <v>2500000</v>
      </c>
      <c r="H134" s="1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6" thickBot="1"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6" thickBot="1"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6" thickBo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6" thickBo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6" thickBo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6" thickBo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6" thickBo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6" thickBo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6" thickBo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6" thickBo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6" thickBo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6" thickBo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6" thickBo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6" thickBo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6" thickBo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6" thickBo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6" thickBo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6" thickBo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6" thickBo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6" thickBo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6" thickBo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6" thickBo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6" thickBo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6" thickBo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6" thickBo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6" thickBo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6" thickBo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6" thickBo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6" thickBo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6" thickBo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6" thickBo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6" thickBo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6" thickBo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6" thickBo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6" thickBo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6" thickBo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6" thickBo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6" thickBo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6" thickBo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6" thickBo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6" thickBo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6" thickBo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6" thickBo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6" thickBo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6" thickBo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6" thickBo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6" thickBo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6" thickBo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6" thickBo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6" thickBo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6" thickBo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6" thickBo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6" thickBo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6" thickBo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6" thickBo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6" thickBo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6" thickBo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6" thickBo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6" thickBo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6" thickBo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6" thickBo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6" thickBo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6" thickBo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6" thickBo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6" thickBo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6" thickBo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6" thickBo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6" thickBo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6" thickBo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6" thickBo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6" thickBo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6" thickBo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6" thickBo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6" thickBo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6" thickBo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6" thickBo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6" thickBo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6" thickBo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6" thickBo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6" thickBo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6" thickBo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6" thickBo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6" thickBo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6" thickBo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6" thickBo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6" thickBo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6" thickBo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6" thickBo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6" thickBo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6" thickBo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6" thickBo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6" thickBo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6" thickBo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6" thickBo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6" thickBo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6" thickBo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6" thickBo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6" thickBo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6" thickBo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6" thickBo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6" thickBo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6" thickBo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6" thickBo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6" thickBo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6" thickBo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6" thickBo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6" thickBo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6" thickBo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6" thickBo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6" thickBo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6" thickBo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6" thickBo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6" thickBo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6" thickBo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6" thickBo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6" thickBo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6" thickBo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6" thickBo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6" thickBo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6" thickBo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6" thickBo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6" thickBo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6" thickBo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6" thickBo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6" thickBo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6" thickBo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6" thickBo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6" thickBo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6" thickBo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6" thickBo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6" thickBo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6" thickBo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6" thickBo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6" thickBo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6" thickBo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6" thickBo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6" thickBo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6" thickBo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6" thickBo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6" thickBo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6" thickBo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6" thickBo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6" thickBo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6" thickBo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6" thickBo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6" thickBo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6" thickBo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6" thickBo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6" thickBo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6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6" thickBo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6" thickBo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6" thickBo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6" thickBo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6" thickBo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6" thickBo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6" thickBo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6" thickBo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6" thickBo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6" thickBo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6" thickBo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6" thickBo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6" thickBo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6" thickBo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6" thickBo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6" thickBo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6" thickBo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6" thickBo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6" thickBo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6" thickBo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6" thickBo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6" thickBo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6" thickBo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6" thickBo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6" thickBo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6" thickBo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6" thickBo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6" thickBo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6" thickBo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6" thickBo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6" thickBo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6" thickBo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6" thickBo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6" thickBo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6" thickBo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6" thickBo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6" thickBo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6" thickBo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6" thickBo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6" thickBo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6" thickBo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6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6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6" thickBo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6" thickBo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6" thickBo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6" thickBo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6" thickBo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6" thickBo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6" thickBo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6" thickBo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6" thickBo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6" thickBo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6" thickBo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6" thickBo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6" thickBo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6" thickBo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6" thickBo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6" thickBo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6" thickBo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6" thickBo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6" thickBo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6" thickBo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6" thickBo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6" thickBo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6" thickBo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6" thickBo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6" thickBo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6" thickBo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6" thickBo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6" thickBo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6" thickBo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6" thickBo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6" thickBo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6" thickBo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6" thickBo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6" thickBo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6" thickBo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6" thickBo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6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6" thickBo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6" thickBo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6" thickBo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6" thickBo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6" thickBo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6" thickBo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6" thickBo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6" thickBo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6" thickBo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6" thickBo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6" thickBo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6" thickBo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6" thickBo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6" thickBo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6" thickBo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6" thickBo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6" thickBo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6" thickBo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6" thickBo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6" thickBo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6" thickBo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6" thickBo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6" thickBo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6" thickBo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6" thickBo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6" thickBo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6" thickBo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6" thickBo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6" thickBo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6" thickBo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6" thickBo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6" thickBo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6" thickBo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6" thickBo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6" thickBo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6" thickBo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6" thickBo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6" thickBo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6" thickBo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6" thickBo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6" thickBo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6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6" thickBo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6" thickBo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6" thickBo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6" thickBo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6" thickBo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6" thickBo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6" thickBo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6" thickBo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6" thickBo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6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6" thickBo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6" thickBo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6" thickBo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6" thickBo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6" thickBo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6" thickBo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6" thickBo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6" thickBo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6" thickBo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6" thickBo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6" thickBo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6" thickBo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6" thickBo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6" thickBo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6" thickBo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6" thickBo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6" thickBo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6" thickBo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6" thickBo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6" thickBo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6" thickBo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6" thickBo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6" thickBo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6" thickBo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6" thickBo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6" thickBo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6" thickBo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6" thickBo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6" thickBo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6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6" thickBo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6" thickBo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6" thickBo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6" thickBo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6" thickBo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6" thickBo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6" thickBo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6" thickBo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6" thickBo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6" thickBo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6" thickBo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6" thickBo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6" thickBo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6" thickBo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6" thickBo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6" thickBo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6" thickBo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6" thickBo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6" thickBo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6" thickBo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6" thickBo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6" thickBo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6" thickBo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6" thickBo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6" thickBo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6" thickBo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6" thickBo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6" thickBo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6" thickBo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6" thickBo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6" thickBo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6" thickBo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6" thickBo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6" thickBo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6" thickBo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6" thickBo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6" thickBo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6" thickBo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6" thickBo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6" thickBo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6" thickBo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6" thickBo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6" thickBo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6" thickBo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6" thickBo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6" thickBo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6" thickBo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6" thickBo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6" thickBo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6" thickBo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6" thickBo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6" thickBo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6" thickBo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6" thickBo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6" thickBo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6" thickBo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6" thickBo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6" thickBo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6" thickBo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6" thickBo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6" thickBo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6" thickBo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6" thickBo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6" thickBo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6" thickBo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6" thickBo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6" thickBo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6" thickBo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6" thickBo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6" thickBo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6" thickBo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6" thickBo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6" thickBo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6" thickBo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6" thickBo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6" thickBo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6" thickBo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6" thickBo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6" thickBo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6" thickBo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6" thickBo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6" thickBo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6" thickBo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6" thickBo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6" thickBo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6" thickBo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6" thickBo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6" thickBo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6" thickBo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6" thickBo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6" thickBo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6" thickBo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6" thickBo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6" thickBo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6" thickBo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6" thickBo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6" thickBo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6" thickBo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6" thickBo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6" thickBo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6" thickBo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6" thickBo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6" thickBo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6" thickBo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6" thickBo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6" thickBo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6" thickBo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6" thickBo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6" thickBo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6" thickBo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6" thickBo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6" thickBo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6" thickBo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6" thickBo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6" thickBo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6" thickBo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6" thickBo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6" thickBo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6" thickBo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6" thickBo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6" thickBo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6" thickBo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6" thickBo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6" thickBo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6" thickBo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6" thickBo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6" thickBo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6" thickBo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6" thickBo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6" thickBo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6" thickBo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6" thickBo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6" thickBo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6" thickBo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6" thickBo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6" thickBo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6" thickBo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6" thickBo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6" thickBo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6" thickBo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6" thickBo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6" thickBo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6" thickBo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6" thickBo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6" thickBo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6" thickBo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6" thickBo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6" thickBo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6" thickBo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6" thickBo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6" thickBo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6" thickBo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6" thickBo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6" thickBo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6" thickBo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6" thickBo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6" thickBo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6" thickBo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6" thickBo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6" thickBo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6" thickBo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6" thickBo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6" thickBo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6" thickBo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6" thickBo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6" thickBo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6" thickBo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6" thickBo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6" thickBo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6" thickBo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6" thickBo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6" thickBo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6" thickBo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6" thickBo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6" thickBo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6" thickBo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6" thickBo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6" thickBo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6" thickBo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6" thickBo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6" thickBo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6" thickBo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6" thickBo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6" thickBo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6" thickBo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6" thickBo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6" thickBo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6" thickBo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6" thickBo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6" thickBo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6" thickBo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6" thickBo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6" thickBo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6" thickBo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6" thickBo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6" thickBo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6" thickBo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6" thickBo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6" thickBo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6" thickBo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6" thickBo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6" thickBo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6" thickBo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6" thickBo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6" thickBo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6" thickBo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6" thickBo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6" thickBo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6" thickBo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6" thickBo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6" thickBo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6" thickBo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6" thickBo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6" thickBo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6" thickBo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6" thickBo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6" thickBo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6" thickBo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6" thickBo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6" thickBo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6" thickBo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6" thickBo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6" thickBo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6" thickBo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6" thickBo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6" thickBo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6" thickBo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6" thickBo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6" thickBo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6" thickBo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6" thickBo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6" thickBo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6" thickBo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6" thickBo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6" thickBo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6" thickBo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6" thickBo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6" thickBo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6" thickBo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6" thickBo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6" thickBo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6" thickBo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6" thickBo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6" thickBo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6" thickBo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6" thickBo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6" thickBo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6" thickBo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6" thickBo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6" thickBo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6" thickBo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6" thickBo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6" thickBo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6" thickBo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6" thickBo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6" thickBo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6" thickBo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6" thickBo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6" thickBo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6" thickBo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6" thickBo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6" thickBo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6" thickBo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6" thickBo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6" thickBo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6" thickBo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6" thickBo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6" thickBo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6" thickBo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6" thickBo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6" thickBo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6" thickBo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6" thickBo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6" thickBo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6" thickBo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6" thickBo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6" thickBo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6" thickBo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6" thickBo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6" thickBo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6" thickBo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6" thickBo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6" thickBo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6" thickBo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6" thickBo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6" thickBo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6" thickBo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6" thickBo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6" thickBo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6" thickBo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6" thickBo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6" thickBo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6" thickBo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6" thickBo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6" thickBo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6" thickBo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6" thickBo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6" thickBo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6" thickBo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6" thickBo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6" thickBo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6" thickBo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6" thickBo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6" thickBo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6" thickBo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6" thickBo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6" thickBo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6" thickBo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6" thickBo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6" thickBo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6" thickBo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6" thickBo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6" thickBo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6" thickBo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6" thickBo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6" thickBo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6" thickBo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6" thickBo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6" thickBo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6" thickBo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6" thickBo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6" thickBo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6" thickBo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6" thickBo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6" thickBo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6" thickBo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6" thickBo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6" thickBo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6" thickBo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6" thickBo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6" thickBo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6" thickBo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6" thickBo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6" thickBo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6" thickBo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6" thickBo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6" thickBo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6" thickBo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6" thickBo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6" thickBo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6" thickBo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6" thickBo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6" thickBo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6" thickBo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6" thickBo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6" thickBo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6" thickBo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6" thickBo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6" thickBo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6" thickBo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6" thickBo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6" thickBo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6" thickBo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6" thickBo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6" thickBo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6" thickBo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6" thickBo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6" thickBo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6" thickBo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6" thickBo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6" thickBo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6" thickBo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6" thickBo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6" thickBo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6" thickBo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6" thickBo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6" thickBo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6" thickBo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6" thickBo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6" thickBo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6" thickBo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6" thickBo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6" thickBo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6" thickBo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6" thickBo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6" thickBo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6" thickBo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6" thickBo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6" thickBo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6" thickBo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6" thickBo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6" thickBo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6" thickBo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6" thickBo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6" thickBo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6" thickBo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6" thickBo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6" thickBo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6" thickBo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6" thickBo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6" thickBo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6" thickBo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6" thickBo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6" thickBo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6" thickBo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6" thickBo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6" thickBo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6" thickBo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6" thickBo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6" thickBo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6" thickBo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6" thickBo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6" thickBo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6" thickBo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6" thickBo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6" thickBo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6" thickBo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6" thickBo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6" thickBo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6" thickBo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6" thickBo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6" thickBo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6" thickBo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6" thickBo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6" thickBo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6" thickBo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6" thickBo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6" thickBo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6" thickBo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6" thickBo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6" thickBo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6" thickBo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6" thickBo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6" thickBo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6" thickBo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6" thickBo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6" thickBo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6" thickBo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6" thickBo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6" thickBo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6" thickBo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6" thickBo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6" thickBo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6" thickBo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6" thickBo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6" thickBo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6" thickBo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6" thickBo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6" thickBo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6" thickBo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6" thickBo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6" thickBo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6" thickBo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6" thickBo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6" thickBo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6" thickBo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6" thickBo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6" thickBo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6" thickBo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6" thickBo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6" thickBo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6" thickBo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6" thickBo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6" thickBo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6" thickBo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6" thickBo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6" thickBo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6" thickBo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6" thickBo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6" thickBo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6" thickBo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6" thickBo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6" thickBo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6" thickBo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6" thickBo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6" thickBo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6" thickBo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6" thickBo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6" thickBo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6" thickBo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6" thickBo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6" thickBo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6" thickBo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6" thickBo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6" thickBo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6" thickBo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6" thickBo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6" thickBo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6" thickBo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6" thickBo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6" thickBo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6" thickBo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6" thickBo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6" thickBo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6" thickBo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6" thickBo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6" thickBo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6" thickBo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6" thickBo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6" thickBo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6" thickBo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6" thickBo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6" thickBo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6" thickBo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6" thickBo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6" thickBo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6" thickBo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6" thickBo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6" thickBo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6" thickBo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6" thickBo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6" thickBo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6" thickBo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6" thickBo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6" thickBo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6" thickBo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6" thickBo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6" thickBo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6" thickBo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6" thickBo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6" thickBo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6" thickBo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6" thickBo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6" thickBo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6" thickBo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6" thickBo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6" thickBo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6" thickBo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6" thickBo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6" thickBo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6" thickBo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6" thickBo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6" thickBo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6" thickBo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6" thickBo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6" thickBo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6" thickBo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6" thickBo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6" thickBo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6" thickBo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6" thickBo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6" thickBo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6" thickBo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6" thickBo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6" thickBo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6" thickBo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6" thickBo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6" thickBo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6" thickBo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6" thickBo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6" thickBo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6" thickBo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6" thickBo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6" thickBo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6" thickBo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6" thickBo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6" thickBo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6" thickBo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6" thickBo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6" thickBo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6" thickBo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6" thickBo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6" thickBo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6" thickBo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A1:H1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khá 1</vt:lpstr>
      <vt:lpstr>khá2</vt:lpstr>
      <vt:lpstr>giỏi3</vt:lpstr>
      <vt:lpstr>giỏi4</vt:lpstr>
      <vt:lpstr>xuất sắc5</vt:lpstr>
      <vt:lpstr>xuất sắc 6</vt:lpstr>
      <vt:lpstr>BTTH7</vt:lpstr>
      <vt:lpstr>BTTH8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nguyenthanhdat2172007@gmail.com</dc:creator>
  <cp:lastModifiedBy>nguyenthanhdat2172007@gmail.com</cp:lastModifiedBy>
  <dcterms:created xsi:type="dcterms:W3CDTF">2026-01-14T14:22:12Z</dcterms:created>
  <dcterms:modified xsi:type="dcterms:W3CDTF">2026-01-14T15:23:05Z</dcterms:modified>
</cp:coreProperties>
</file>